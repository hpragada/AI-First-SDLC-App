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Defects" sheetId="3" state="visible" r:id="rId3"/>
    <sheet xmlns:r="http://schemas.openxmlformats.org/officeDocument/2006/relationships" name="Daily Lo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'Test Cases'!$A$1:$P$254</definedName>
    <definedName name="_xlnm._FilterDatabase" localSheetId="2" hidden="1">'Defects'!$A$1:$P$1</definedName>
    <definedName name="_xlnm._FilterDatabase" localSheetId="3" hidden="1">'Daily Log'!$A$1:$J$1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B2A4A"/>
      <sz val="14"/>
    </font>
    <font>
      <b val="1"/>
      <color rgb="001B2A4A"/>
    </font>
    <font>
      <b val="1"/>
      <color rgb="00FFFFFF"/>
      <sz val="11"/>
    </font>
    <font>
      <i val="1"/>
      <color rgb="00667085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B2A4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9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CEA"/>
        </patternFill>
      </fill>
    </dxf>
    <dxf>
      <fill>
        <patternFill patternType="solid">
          <fgColor rgb="00E9F7EF"/>
        </patternFill>
      </fill>
    </dxf>
    <dxf>
      <fill>
        <patternFill patternType="solid">
          <fgColor rgb="00FFF6E5"/>
        </patternFill>
      </fill>
    </dxf>
    <dxf>
      <font>
        <b val="1"/>
        <color rgb="001B7A47"/>
      </font>
      <fill>
        <patternFill patternType="solid">
          <fgColor rgb="00E9F7EF"/>
        </patternFill>
      </fill>
    </dxf>
    <dxf>
      <font>
        <b val="1"/>
        <color rgb="00B4231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Greenfield Test Execution Tracker</t>
        </is>
      </c>
      <c r="B1" s="2" t="inlineStr"/>
    </row>
    <row r="2">
      <c r="A2" s="3" t="inlineStr"/>
      <c r="B2" s="2" t="inlineStr"/>
    </row>
    <row r="3" ht="30" customHeight="1">
      <c r="A3" s="4" t="inlineStr">
        <is>
          <t>What this is</t>
        </is>
      </c>
      <c r="B3" s="2" t="inlineStr">
        <is>
          <t>The execution log for the greenfield test cycle. The test cases themselves live in docs/qa/suites/ as Markdown — this workbook records what happened when you ran them.</t>
        </is>
      </c>
    </row>
    <row r="4" ht="30" customHeight="1">
      <c r="A4" s="4" t="inlineStr">
        <is>
          <t>Sheets</t>
        </is>
      </c>
      <c r="B4" s="2" t="inlineStr">
        <is>
          <t>Test Cases — one row per case, filter by Owner to find yours.  |  Defects — every failure you raise.  |  Daily Log — one row per tester per day.  |  Summary — live counts, no typing needed.</t>
        </is>
      </c>
    </row>
    <row r="5">
      <c r="A5" s="3" t="inlineStr"/>
      <c r="B5" s="2" t="inlineStr"/>
    </row>
    <row r="6">
      <c r="A6" s="4" t="inlineStr">
        <is>
          <t>Every session</t>
        </is>
      </c>
      <c r="B6" s="2" t="inlineStr"/>
    </row>
    <row r="7" ht="30" customHeight="1">
      <c r="A7" s="3" t="inlineStr">
        <is>
          <t>1.</t>
        </is>
      </c>
      <c r="B7" s="2" t="inlineStr">
        <is>
          <t>Run the environment health check from GREENFIELD_TEST_PLAN.md §2 and record it on the Daily Log.</t>
        </is>
      </c>
    </row>
    <row r="8">
      <c r="A8" s="3" t="inlineStr">
        <is>
          <t>2.</t>
        </is>
      </c>
      <c r="B8" s="2" t="inlineStr">
        <is>
          <t>Filter Test Cases by your initial in the Owner column and work in TC-ID order within a suite.</t>
        </is>
      </c>
    </row>
    <row r="9" ht="30" customHeight="1">
      <c r="A9" s="3" t="inlineStr">
        <is>
          <t>3.</t>
        </is>
      </c>
      <c r="B9" s="2" t="inlineStr">
        <is>
          <t>Open the matching suite file in docs/qa/suites/ for the full steps — this sheet holds titles only.</t>
        </is>
      </c>
    </row>
    <row r="10" ht="30" customHeight="1">
      <c r="A10" s="3" t="inlineStr">
        <is>
          <t>4.</t>
        </is>
      </c>
      <c r="B10" s="2" t="inlineStr">
        <is>
          <t>Set Status for EVERY case you touch. Leaving it 'Not Run' means nobody looked, which is the one thing the tracker must never be ambiguous about.</t>
        </is>
      </c>
    </row>
    <row r="11" ht="30" customHeight="1">
      <c r="A11" s="3" t="inlineStr">
        <is>
          <t>5.</t>
        </is>
      </c>
      <c r="B11" s="2" t="inlineStr">
        <is>
          <t>On a failure: screenshot first, then add a row on Defects, then put the DEFECT-ID in the case row.</t>
        </is>
      </c>
    </row>
    <row r="12" ht="30" customHeight="1">
      <c r="A12" s="3" t="inlineStr">
        <is>
          <t>6.</t>
        </is>
      </c>
      <c r="B12" s="2" t="inlineStr">
        <is>
          <t>Blocked is not Fail. If a case cannot run because an earlier one failed, mark it Blocked and name the blocking DEFECT-ID — otherwise one root cause shows up as ten failures.</t>
        </is>
      </c>
    </row>
    <row r="13">
      <c r="A13" s="3" t="inlineStr">
        <is>
          <t>7.</t>
        </is>
      </c>
      <c r="B13" s="2" t="inlineStr">
        <is>
          <t>End of session: fill in the Daily Log and post the same one-liner in the team channel.</t>
        </is>
      </c>
    </row>
    <row r="14">
      <c r="A14" s="3" t="inlineStr"/>
      <c r="B14" s="2" t="inlineStr"/>
    </row>
    <row r="15" ht="30" customHeight="1">
      <c r="A15" s="4" t="inlineStr">
        <is>
          <t>Re-testing</t>
        </is>
      </c>
      <c r="B15" s="2" t="inlineStr">
        <is>
          <t>When a defect is fixed, re-run the original case and fill the Re-test columns. A defect is closed by a passing test case, not by a developer's say-so.</t>
        </is>
      </c>
    </row>
    <row r="16" ht="30" customHeight="1">
      <c r="A16" s="4" t="inlineStr">
        <is>
          <t>Editing cases</t>
        </is>
      </c>
      <c r="B16" s="2" t="inlineStr">
        <is>
          <t>Never change a case's steps here. Edit the Markdown in docs/qa/suites/, then re-run 'python docs/qa/build_tracker.py' — your logged results are preserved by TC-ID.</t>
        </is>
      </c>
    </row>
    <row r="17">
      <c r="A17" s="3" t="inlineStr"/>
      <c r="B17" s="2" t="inlineStr"/>
    </row>
    <row r="18">
      <c r="A18" s="4" t="inlineStr">
        <is>
          <t>Cycle size</t>
        </is>
      </c>
      <c r="B18" s="2" t="inlineStr">
        <is>
          <t>253 test cases   ·   Tester A: 62   ·   Tester B: 81   ·   Tester C: 110</t>
        </is>
      </c>
    </row>
    <row r="19">
      <c r="A19" s="4" t="inlineStr">
        <is>
          <t>Out of scope</t>
        </is>
      </c>
      <c r="B19" s="2" t="inlineStr">
        <is>
          <t>The brownfield track. Do not create a Brownfield project.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12" customWidth="1" min="4" max="4"/>
    <col width="10" customWidth="1" min="5" max="5"/>
    <col width="24" customWidth="1" min="6" max="6"/>
    <col width="14" customWidth="1" min="7" max="7"/>
    <col width="12" customWidth="1" min="8" max="8"/>
    <col width="8" customWidth="1" min="9" max="9"/>
    <col width="13" customWidth="1" min="10" max="10"/>
    <col width="12" customWidth="1" min="11" max="11"/>
    <col width="10" customWidth="1" min="12" max="12"/>
    <col width="46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5" t="inlineStr">
        <is>
          <t>TC-ID</t>
        </is>
      </c>
      <c r="B1" s="5" t="inlineStr">
        <is>
          <t>Suite</t>
        </is>
      </c>
      <c r="C1" s="5" t="inlineStr">
        <is>
          <t>Title</t>
        </is>
      </c>
      <c r="D1" s="5" t="inlineStr">
        <is>
          <t>Type</t>
        </is>
      </c>
      <c r="E1" s="5" t="inlineStr">
        <is>
          <t>Priority</t>
        </is>
      </c>
      <c r="F1" s="5" t="inlineStr">
        <is>
          <t>Screen</t>
        </is>
      </c>
      <c r="G1" s="5" t="inlineStr">
        <is>
          <t>Persona</t>
        </is>
      </c>
      <c r="H1" s="5" t="inlineStr">
        <is>
          <t>Automation</t>
        </is>
      </c>
      <c r="I1" s="5" t="inlineStr">
        <is>
          <t>Owner</t>
        </is>
      </c>
      <c r="J1" s="5" t="inlineStr">
        <is>
          <t>Status</t>
        </is>
      </c>
      <c r="K1" s="5" t="inlineStr">
        <is>
          <t>Run date</t>
        </is>
      </c>
      <c r="L1" s="5" t="inlineStr">
        <is>
          <t>Tester</t>
        </is>
      </c>
      <c r="M1" s="5" t="inlineStr">
        <is>
          <t>Actual result / notes</t>
        </is>
      </c>
      <c r="N1" s="5" t="inlineStr">
        <is>
          <t>Defect ID</t>
        </is>
      </c>
      <c r="O1" s="5" t="inlineStr">
        <is>
          <t>Re-test</t>
        </is>
      </c>
      <c r="P1" s="5" t="inlineStr">
        <is>
          <t>Re-test date</t>
        </is>
      </c>
    </row>
    <row r="2">
      <c r="A2" s="6" t="inlineStr">
        <is>
          <t>TC-001</t>
        </is>
      </c>
      <c r="B2" s="6" t="inlineStr">
        <is>
          <t>TS-01</t>
        </is>
      </c>
      <c r="C2" s="6" t="inlineStr">
        <is>
          <t>Create a workspace and land on the setup checklist</t>
        </is>
      </c>
      <c r="D2" s="6" t="inlineStr">
        <is>
          <t>E2E</t>
        </is>
      </c>
      <c r="E2" s="6" t="inlineStr">
        <is>
          <t>Critical</t>
        </is>
      </c>
      <c r="F2" s="6" t="inlineStr">
        <is>
          <t>/signup → /setup</t>
        </is>
      </c>
      <c r="G2" s="6" t="inlineStr">
        <is>
          <t>P1 Owner-Admin</t>
        </is>
      </c>
      <c r="H2" s="6" t="inlineStr">
        <is>
          <t>Yes</t>
        </is>
      </c>
      <c r="I2" s="6" t="inlineStr">
        <is>
          <t>A</t>
        </is>
      </c>
      <c r="J2" s="6" t="inlineStr">
        <is>
          <t>Not Run</t>
        </is>
      </c>
      <c r="K2" s="6" t="n"/>
      <c r="L2" s="6" t="n"/>
      <c r="M2" s="6" t="n"/>
      <c r="N2" s="6" t="n"/>
      <c r="O2" s="6" t="n"/>
      <c r="P2" s="6" t="n"/>
    </row>
    <row r="3">
      <c r="A3" s="6" t="inlineStr">
        <is>
          <t>TC-002</t>
        </is>
      </c>
      <c r="B3" s="6" t="inlineStr">
        <is>
          <t>TS-01</t>
        </is>
      </c>
      <c r="C3" s="6" t="inlineStr">
        <is>
          <t>Signup rejects an email that already has an account</t>
        </is>
      </c>
      <c r="D3" s="6" t="inlineStr">
        <is>
          <t>Negative</t>
        </is>
      </c>
      <c r="E3" s="6" t="inlineStr">
        <is>
          <t>High</t>
        </is>
      </c>
      <c r="F3" s="6" t="inlineStr">
        <is>
          <t>/signup</t>
        </is>
      </c>
      <c r="G3" s="6" t="inlineStr">
        <is>
          <t>P1 Owner-Admin</t>
        </is>
      </c>
      <c r="H3" s="6" t="inlineStr">
        <is>
          <t>Yes</t>
        </is>
      </c>
      <c r="I3" s="6" t="inlineStr">
        <is>
          <t>A</t>
        </is>
      </c>
      <c r="J3" s="6" t="inlineStr">
        <is>
          <t>Not Run</t>
        </is>
      </c>
      <c r="K3" s="6" t="n"/>
      <c r="L3" s="6" t="n"/>
      <c r="M3" s="6" t="n"/>
      <c r="N3" s="6" t="n"/>
      <c r="O3" s="6" t="n"/>
      <c r="P3" s="6" t="n"/>
    </row>
    <row r="4">
      <c r="A4" s="6" t="inlineStr">
        <is>
          <t>TC-003</t>
        </is>
      </c>
      <c r="B4" s="6" t="inlineStr">
        <is>
          <t>TS-01</t>
        </is>
      </c>
      <c r="C4" s="6" t="inlineStr">
        <is>
          <t>Signup rejects a password under 8 characters</t>
        </is>
      </c>
      <c r="D4" s="6" t="inlineStr">
        <is>
          <t>Negative</t>
        </is>
      </c>
      <c r="E4" s="6" t="inlineStr">
        <is>
          <t>High</t>
        </is>
      </c>
      <c r="F4" s="6" t="inlineStr">
        <is>
          <t>/signup</t>
        </is>
      </c>
      <c r="G4" s="6" t="inlineStr">
        <is>
          <t>Any</t>
        </is>
      </c>
      <c r="H4" s="6" t="inlineStr">
        <is>
          <t>Yes</t>
        </is>
      </c>
      <c r="I4" s="6" t="inlineStr">
        <is>
          <t>A</t>
        </is>
      </c>
      <c r="J4" s="6" t="inlineStr">
        <is>
          <t>Not Run</t>
        </is>
      </c>
      <c r="K4" s="6" t="n"/>
      <c r="L4" s="6" t="n"/>
      <c r="M4" s="6" t="n"/>
      <c r="N4" s="6" t="n"/>
      <c r="O4" s="6" t="n"/>
      <c r="P4" s="6" t="n"/>
    </row>
    <row r="5">
      <c r="A5" s="6" t="inlineStr">
        <is>
          <t>TC-004</t>
        </is>
      </c>
      <c r="B5" s="6" t="inlineStr">
        <is>
          <t>TS-01</t>
        </is>
      </c>
      <c r="C5" s="6" t="inlineStr">
        <is>
          <t>Signup with a blank workspace name</t>
        </is>
      </c>
      <c r="D5" s="6" t="inlineStr">
        <is>
          <t>Negative</t>
        </is>
      </c>
      <c r="E5" s="6" t="inlineStr">
        <is>
          <t>Medium</t>
        </is>
      </c>
      <c r="F5" s="6" t="inlineStr">
        <is>
          <t>/signup</t>
        </is>
      </c>
      <c r="G5" s="6" t="inlineStr">
        <is>
          <t>Any</t>
        </is>
      </c>
      <c r="H5" s="6" t="inlineStr">
        <is>
          <t>Yes</t>
        </is>
      </c>
      <c r="I5" s="6" t="inlineStr">
        <is>
          <t>A</t>
        </is>
      </c>
      <c r="J5" s="6" t="inlineStr">
        <is>
          <t>Not Run</t>
        </is>
      </c>
      <c r="K5" s="6" t="n"/>
      <c r="L5" s="6" t="n"/>
      <c r="M5" s="6" t="n"/>
      <c r="N5" s="6" t="n"/>
      <c r="O5" s="6" t="n"/>
      <c r="P5" s="6" t="n"/>
    </row>
    <row r="6">
      <c r="A6" s="6" t="inlineStr">
        <is>
          <t>TC-005</t>
        </is>
      </c>
      <c r="B6" s="6" t="inlineStr">
        <is>
          <t>TS-01</t>
        </is>
      </c>
      <c r="C6" s="6" t="inlineStr">
        <is>
          <t>Signup rejects a malformed email address</t>
        </is>
      </c>
      <c r="D6" s="6" t="inlineStr">
        <is>
          <t>Negative</t>
        </is>
      </c>
      <c r="E6" s="6" t="inlineStr">
        <is>
          <t>Medium</t>
        </is>
      </c>
      <c r="F6" s="6" t="inlineStr">
        <is>
          <t>/signup</t>
        </is>
      </c>
      <c r="G6" s="6" t="inlineStr">
        <is>
          <t>Any</t>
        </is>
      </c>
      <c r="H6" s="6" t="inlineStr">
        <is>
          <t>Yes</t>
        </is>
      </c>
      <c r="I6" s="6" t="inlineStr">
        <is>
          <t>A</t>
        </is>
      </c>
      <c r="J6" s="6" t="inlineStr">
        <is>
          <t>Not Run</t>
        </is>
      </c>
      <c r="K6" s="6" t="n"/>
      <c r="L6" s="6" t="n"/>
      <c r="M6" s="6" t="n"/>
      <c r="N6" s="6" t="n"/>
      <c r="O6" s="6" t="n"/>
      <c r="P6" s="6" t="n"/>
    </row>
    <row r="7">
      <c r="A7" s="6" t="inlineStr">
        <is>
          <t>TC-006</t>
        </is>
      </c>
      <c r="B7" s="6" t="inlineStr">
        <is>
          <t>TS-01</t>
        </is>
      </c>
      <c r="C7" s="6" t="inlineStr">
        <is>
          <t>The password strength meter responds as you type</t>
        </is>
      </c>
      <c r="D7" s="6" t="inlineStr">
        <is>
          <t>UX</t>
        </is>
      </c>
      <c r="E7" s="6" t="inlineStr">
        <is>
          <t>Low</t>
        </is>
      </c>
      <c r="F7" s="6" t="inlineStr">
        <is>
          <t>/signup</t>
        </is>
      </c>
      <c r="G7" s="6" t="inlineStr">
        <is>
          <t>Any</t>
        </is>
      </c>
      <c r="H7" s="6" t="inlineStr">
        <is>
          <t>No</t>
        </is>
      </c>
      <c r="I7" s="6" t="inlineStr">
        <is>
          <t>A</t>
        </is>
      </c>
      <c r="J7" s="6" t="inlineStr">
        <is>
          <t>Not Run</t>
        </is>
      </c>
      <c r="K7" s="6" t="n"/>
      <c r="L7" s="6" t="n"/>
      <c r="M7" s="6" t="n"/>
      <c r="N7" s="6" t="n"/>
      <c r="O7" s="6" t="n"/>
      <c r="P7" s="6" t="n"/>
    </row>
    <row r="8">
      <c r="A8" s="6" t="inlineStr">
        <is>
          <t>TC-007</t>
        </is>
      </c>
      <c r="B8" s="6" t="inlineStr">
        <is>
          <t>TS-01</t>
        </is>
      </c>
      <c r="C8" s="6" t="inlineStr">
        <is>
          <t>Signup shows a submitting state while the workspace is created</t>
        </is>
      </c>
      <c r="D8" s="6" t="inlineStr">
        <is>
          <t>UX</t>
        </is>
      </c>
      <c r="E8" s="6" t="inlineStr">
        <is>
          <t>Medium</t>
        </is>
      </c>
      <c r="F8" s="6" t="inlineStr">
        <is>
          <t>/signup</t>
        </is>
      </c>
      <c r="G8" s="6" t="inlineStr">
        <is>
          <t>Any</t>
        </is>
      </c>
      <c r="H8" s="6" t="inlineStr">
        <is>
          <t>No</t>
        </is>
      </c>
      <c r="I8" s="6" t="inlineStr">
        <is>
          <t>A</t>
        </is>
      </c>
      <c r="J8" s="6" t="inlineStr">
        <is>
          <t>Not Run</t>
        </is>
      </c>
      <c r="K8" s="6" t="n"/>
      <c r="L8" s="6" t="n"/>
      <c r="M8" s="6" t="n"/>
      <c r="N8" s="6" t="n"/>
      <c r="O8" s="6" t="n"/>
      <c r="P8" s="6" t="n"/>
    </row>
    <row r="9">
      <c r="A9" s="6" t="inlineStr">
        <is>
          <t>TC-008</t>
        </is>
      </c>
      <c r="B9" s="6" t="inlineStr">
        <is>
          <t>TS-01</t>
        </is>
      </c>
      <c r="C9" s="6" t="inlineStr">
        <is>
          <t>Log in with valid credentials</t>
        </is>
      </c>
      <c r="D9" s="6" t="inlineStr">
        <is>
          <t>Functional</t>
        </is>
      </c>
      <c r="E9" s="6" t="inlineStr">
        <is>
          <t>Critical</t>
        </is>
      </c>
      <c r="F9" s="6" t="inlineStr">
        <is>
          <t>/login</t>
        </is>
      </c>
      <c r="G9" s="6" t="inlineStr">
        <is>
          <t>P1 Owner-Admin</t>
        </is>
      </c>
      <c r="H9" s="6" t="inlineStr">
        <is>
          <t>Yes</t>
        </is>
      </c>
      <c r="I9" s="6" t="inlineStr">
        <is>
          <t>A</t>
        </is>
      </c>
      <c r="J9" s="6" t="inlineStr">
        <is>
          <t>Not Run</t>
        </is>
      </c>
      <c r="K9" s="6" t="n"/>
      <c r="L9" s="6" t="n"/>
      <c r="M9" s="6" t="n"/>
      <c r="N9" s="6" t="n"/>
      <c r="O9" s="6" t="n"/>
      <c r="P9" s="6" t="n"/>
    </row>
    <row r="10">
      <c r="A10" s="6" t="inlineStr">
        <is>
          <t>TC-009</t>
        </is>
      </c>
      <c r="B10" s="6" t="inlineStr">
        <is>
          <t>TS-01</t>
        </is>
      </c>
      <c r="C10" s="6" t="inlineStr">
        <is>
          <t>Log in with the wrong password</t>
        </is>
      </c>
      <c r="D10" s="6" t="inlineStr">
        <is>
          <t>Negative</t>
        </is>
      </c>
      <c r="E10" s="6" t="inlineStr">
        <is>
          <t>High</t>
        </is>
      </c>
      <c r="F10" s="6" t="inlineStr">
        <is>
          <t>/login</t>
        </is>
      </c>
      <c r="G10" s="6" t="inlineStr">
        <is>
          <t>P1 Owner-Admin</t>
        </is>
      </c>
      <c r="H10" s="6" t="inlineStr">
        <is>
          <t>Yes</t>
        </is>
      </c>
      <c r="I10" s="6" t="inlineStr">
        <is>
          <t>A</t>
        </is>
      </c>
      <c r="J10" s="6" t="inlineStr">
        <is>
          <t>Not Run</t>
        </is>
      </c>
      <c r="K10" s="6" t="n"/>
      <c r="L10" s="6" t="n"/>
      <c r="M10" s="6" t="n"/>
      <c r="N10" s="6" t="n"/>
      <c r="O10" s="6" t="n"/>
      <c r="P10" s="6" t="n"/>
    </row>
    <row r="11">
      <c r="A11" s="6" t="inlineStr">
        <is>
          <t>TC-010</t>
        </is>
      </c>
      <c r="B11" s="6" t="inlineStr">
        <is>
          <t>TS-01</t>
        </is>
      </c>
      <c r="C11" s="6" t="inlineStr">
        <is>
          <t>Log in with an email that has no account</t>
        </is>
      </c>
      <c r="D11" s="6" t="inlineStr">
        <is>
          <t>Negative</t>
        </is>
      </c>
      <c r="E11" s="6" t="inlineStr">
        <is>
          <t>Medium</t>
        </is>
      </c>
      <c r="F11" s="6" t="inlineStr">
        <is>
          <t>/login</t>
        </is>
      </c>
      <c r="G11" s="6" t="inlineStr">
        <is>
          <t>Any</t>
        </is>
      </c>
      <c r="H11" s="6" t="inlineStr">
        <is>
          <t>Yes</t>
        </is>
      </c>
      <c r="I11" s="6" t="inlineStr">
        <is>
          <t>A</t>
        </is>
      </c>
      <c r="J11" s="6" t="inlineStr">
        <is>
          <t>Not Run</t>
        </is>
      </c>
      <c r="K11" s="6" t="n"/>
      <c r="L11" s="6" t="n"/>
      <c r="M11" s="6" t="n"/>
      <c r="N11" s="6" t="n"/>
      <c r="O11" s="6" t="n"/>
      <c r="P11" s="6" t="n"/>
    </row>
    <row r="12">
      <c r="A12" s="6" t="inlineStr">
        <is>
          <t>TC-011</t>
        </is>
      </c>
      <c r="B12" s="6" t="inlineStr">
        <is>
          <t>TS-01</t>
        </is>
      </c>
      <c r="C12" s="6" t="inlineStr">
        <is>
          <t>Repeated failed logins lock the account</t>
        </is>
      </c>
      <c r="D12" s="6" t="inlineStr">
        <is>
          <t>Negative</t>
        </is>
      </c>
      <c r="E12" s="6" t="inlineStr">
        <is>
          <t>High</t>
        </is>
      </c>
      <c r="F12" s="6" t="inlineStr">
        <is>
          <t>/login</t>
        </is>
      </c>
      <c r="G12" s="6" t="inlineStr">
        <is>
          <t>P1 Owner-Admin</t>
        </is>
      </c>
      <c r="H12" s="6" t="inlineStr">
        <is>
          <t>Yes</t>
        </is>
      </c>
      <c r="I12" s="6" t="inlineStr">
        <is>
          <t>A</t>
        </is>
      </c>
      <c r="J12" s="6" t="inlineStr">
        <is>
          <t>Not Run</t>
        </is>
      </c>
      <c r="K12" s="6" t="n"/>
      <c r="L12" s="6" t="n"/>
      <c r="M12" s="6" t="n"/>
      <c r="N12" s="6" t="n"/>
      <c r="O12" s="6" t="n"/>
      <c r="P12" s="6" t="n"/>
    </row>
    <row r="13">
      <c r="A13" s="6" t="inlineStr">
        <is>
          <t>TC-012</t>
        </is>
      </c>
      <c r="B13" s="6" t="inlineStr">
        <is>
          <t>TS-01</t>
        </is>
      </c>
      <c r="C13" s="6" t="inlineStr">
        <is>
          <t>Login shows a submitting state</t>
        </is>
      </c>
      <c r="D13" s="6" t="inlineStr">
        <is>
          <t>UX</t>
        </is>
      </c>
      <c r="E13" s="6" t="inlineStr">
        <is>
          <t>Low</t>
        </is>
      </c>
      <c r="F13" s="6" t="inlineStr">
        <is>
          <t>/login</t>
        </is>
      </c>
      <c r="G13" s="6" t="inlineStr">
        <is>
          <t>P1 Owner-Admin</t>
        </is>
      </c>
      <c r="H13" s="6" t="inlineStr">
        <is>
          <t>No</t>
        </is>
      </c>
      <c r="I13" s="6" t="inlineStr">
        <is>
          <t>A</t>
        </is>
      </c>
      <c r="J13" s="6" t="inlineStr">
        <is>
          <t>Not Run</t>
        </is>
      </c>
      <c r="K13" s="6" t="n"/>
      <c r="L13" s="6" t="n"/>
      <c r="M13" s="6" t="n"/>
      <c r="N13" s="6" t="n"/>
      <c r="O13" s="6" t="n"/>
      <c r="P13" s="6" t="n"/>
    </row>
    <row r="14">
      <c r="A14" s="6" t="inlineStr">
        <is>
          <t>TC-013</t>
        </is>
      </c>
      <c r="B14" s="6" t="inlineStr">
        <is>
          <t>TS-01</t>
        </is>
      </c>
      <c r="C14" s="6" t="inlineStr">
        <is>
          <t>Login returns you to the page you originally asked for</t>
        </is>
      </c>
      <c r="D14" s="6" t="inlineStr">
        <is>
          <t>Functional</t>
        </is>
      </c>
      <c r="E14" s="6" t="inlineStr">
        <is>
          <t>High</t>
        </is>
      </c>
      <c r="F14" s="6" t="inlineStr">
        <is>
          <t>/login → /work-items</t>
        </is>
      </c>
      <c r="G14" s="6" t="inlineStr">
        <is>
          <t>P1 Owner-Admin</t>
        </is>
      </c>
      <c r="H14" s="6" t="inlineStr">
        <is>
          <t>Yes</t>
        </is>
      </c>
      <c r="I14" s="6" t="inlineStr">
        <is>
          <t>A</t>
        </is>
      </c>
      <c r="J14" s="6" t="inlineStr">
        <is>
          <t>Not Run</t>
        </is>
      </c>
      <c r="K14" s="6" t="n"/>
      <c r="L14" s="6" t="n"/>
      <c r="M14" s="6" t="n"/>
      <c r="N14" s="6" t="n"/>
      <c r="O14" s="6" t="n"/>
      <c r="P14" s="6" t="n"/>
    </row>
    <row r="15">
      <c r="A15" s="6" t="inlineStr">
        <is>
          <t>TC-014</t>
        </is>
      </c>
      <c r="B15" s="6" t="inlineStr">
        <is>
          <t>TS-01</t>
        </is>
      </c>
      <c r="C15" s="6" t="inlineStr">
        <is>
          <t>Sign out from the avatar menu</t>
        </is>
      </c>
      <c r="D15" s="6" t="inlineStr">
        <is>
          <t>Functional</t>
        </is>
      </c>
      <c r="E15" s="6" t="inlineStr">
        <is>
          <t>High</t>
        </is>
      </c>
      <c r="F15" s="6" t="inlineStr">
        <is>
          <t>app shell → /login</t>
        </is>
      </c>
      <c r="G15" s="6" t="inlineStr">
        <is>
          <t>P1 Owner-Admin</t>
        </is>
      </c>
      <c r="H15" s="6" t="inlineStr">
        <is>
          <t>Yes</t>
        </is>
      </c>
      <c r="I15" s="6" t="inlineStr">
        <is>
          <t>A</t>
        </is>
      </c>
      <c r="J15" s="6" t="inlineStr">
        <is>
          <t>Not Run</t>
        </is>
      </c>
      <c r="K15" s="6" t="n"/>
      <c r="L15" s="6" t="n"/>
      <c r="M15" s="6" t="n"/>
      <c r="N15" s="6" t="n"/>
      <c r="O15" s="6" t="n"/>
      <c r="P15" s="6" t="n"/>
    </row>
    <row r="16">
      <c r="A16" s="6" t="inlineStr">
        <is>
          <t>TC-015</t>
        </is>
      </c>
      <c r="B16" s="6" t="inlineStr">
        <is>
          <t>TS-01</t>
        </is>
      </c>
      <c r="C16" s="6" t="inlineStr">
        <is>
          <t>An anonymous visitor cannot reach a protected route</t>
        </is>
      </c>
      <c r="D16" s="6" t="inlineStr">
        <is>
          <t>Permission</t>
        </is>
      </c>
      <c r="E16" s="6" t="inlineStr">
        <is>
          <t>Critical</t>
        </is>
      </c>
      <c r="F16" s="6" t="inlineStr">
        <is>
          <t>/work-items → /login</t>
        </is>
      </c>
      <c r="G16" s="6" t="inlineStr">
        <is>
          <t>Any</t>
        </is>
      </c>
      <c r="H16" s="6" t="inlineStr">
        <is>
          <t>Yes</t>
        </is>
      </c>
      <c r="I16" s="6" t="inlineStr">
        <is>
          <t>A</t>
        </is>
      </c>
      <c r="J16" s="6" t="inlineStr">
        <is>
          <t>Not Run</t>
        </is>
      </c>
      <c r="K16" s="6" t="n"/>
      <c r="L16" s="6" t="n"/>
      <c r="M16" s="6" t="n"/>
      <c r="N16" s="6" t="n"/>
      <c r="O16" s="6" t="n"/>
      <c r="P16" s="6" t="n"/>
    </row>
    <row r="17">
      <c r="A17" s="6" t="inlineStr">
        <is>
          <t>TC-016</t>
        </is>
      </c>
      <c r="B17" s="6" t="inlineStr">
        <is>
          <t>TS-01</t>
        </is>
      </c>
      <c r="C17" s="6" t="inlineStr">
        <is>
          <t>A signed-in user visiting /login is sent to the dashboard</t>
        </is>
      </c>
      <c r="D17" s="6" t="inlineStr">
        <is>
          <t>Functional</t>
        </is>
      </c>
      <c r="E17" s="6" t="inlineStr">
        <is>
          <t>Medium</t>
        </is>
      </c>
      <c r="F17" s="6" t="inlineStr">
        <is>
          <t>/login → /</t>
        </is>
      </c>
      <c r="G17" s="6" t="inlineStr">
        <is>
          <t>P1 Owner-Admin</t>
        </is>
      </c>
      <c r="H17" s="6" t="inlineStr">
        <is>
          <t>Yes</t>
        </is>
      </c>
      <c r="I17" s="6" t="inlineStr">
        <is>
          <t>A</t>
        </is>
      </c>
      <c r="J17" s="6" t="inlineStr">
        <is>
          <t>Not Run</t>
        </is>
      </c>
      <c r="K17" s="6" t="n"/>
      <c r="L17" s="6" t="n"/>
      <c r="M17" s="6" t="n"/>
      <c r="N17" s="6" t="n"/>
      <c r="O17" s="6" t="n"/>
      <c r="P17" s="6" t="n"/>
    </row>
    <row r="18">
      <c r="A18" s="6" t="inlineStr">
        <is>
          <t>TC-017</t>
        </is>
      </c>
      <c r="B18" s="6" t="inlineStr">
        <is>
          <t>TS-01</t>
        </is>
      </c>
      <c r="C18" s="6" t="inlineStr">
        <is>
          <t>Request a password reset</t>
        </is>
      </c>
      <c r="D18" s="6" t="inlineStr">
        <is>
          <t>Functional</t>
        </is>
      </c>
      <c r="E18" s="6" t="inlineStr">
        <is>
          <t>High</t>
        </is>
      </c>
      <c r="F18" s="6" t="inlineStr">
        <is>
          <t>/reset</t>
        </is>
      </c>
      <c r="G18" s="6" t="inlineStr">
        <is>
          <t>P1 Owner-Admin</t>
        </is>
      </c>
      <c r="H18" s="6" t="inlineStr">
        <is>
          <t>Yes</t>
        </is>
      </c>
      <c r="I18" s="6" t="inlineStr">
        <is>
          <t>A</t>
        </is>
      </c>
      <c r="J18" s="6" t="inlineStr">
        <is>
          <t>Not Run</t>
        </is>
      </c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TC-018</t>
        </is>
      </c>
      <c r="B19" s="6" t="inlineStr">
        <is>
          <t>TS-01</t>
        </is>
      </c>
      <c r="C19" s="6" t="inlineStr">
        <is>
          <t>Set a new password from a reset link and log in with it</t>
        </is>
      </c>
      <c r="D19" s="6" t="inlineStr">
        <is>
          <t>E2E</t>
        </is>
      </c>
      <c r="E19" s="6" t="inlineStr">
        <is>
          <t>High</t>
        </is>
      </c>
      <c r="F19" s="6" t="inlineStr">
        <is>
          <t>/reset?token=… → /login</t>
        </is>
      </c>
      <c r="G19" s="6" t="inlineStr">
        <is>
          <t>P1 Owner-Admin</t>
        </is>
      </c>
      <c r="H19" s="6" t="inlineStr">
        <is>
          <t>No</t>
        </is>
      </c>
      <c r="I19" s="6" t="inlineStr">
        <is>
          <t>A</t>
        </is>
      </c>
      <c r="J19" s="6" t="inlineStr">
        <is>
          <t>Not Run</t>
        </is>
      </c>
      <c r="K19" s="6" t="n"/>
      <c r="L19" s="6" t="n"/>
      <c r="M19" s="6" t="n"/>
      <c r="N19" s="6" t="n"/>
      <c r="O19" s="6" t="n"/>
      <c r="P19" s="6" t="n"/>
    </row>
    <row r="20">
      <c r="A20" s="6" t="inlineStr">
        <is>
          <t>TC-019</t>
        </is>
      </c>
      <c r="B20" s="6" t="inlineStr">
        <is>
          <t>TS-01</t>
        </is>
      </c>
      <c r="C20" s="6" t="inlineStr">
        <is>
          <t>An invalid or expired reset link shows the invalid state</t>
        </is>
      </c>
      <c r="D20" s="6" t="inlineStr">
        <is>
          <t>Negative</t>
        </is>
      </c>
      <c r="E20" s="6" t="inlineStr">
        <is>
          <t>Medium</t>
        </is>
      </c>
      <c r="F20" s="6" t="inlineStr">
        <is>
          <t>/reset?token=…</t>
        </is>
      </c>
      <c r="G20" s="6" t="inlineStr">
        <is>
          <t>Any</t>
        </is>
      </c>
      <c r="H20" s="6" t="inlineStr">
        <is>
          <t>Yes</t>
        </is>
      </c>
      <c r="I20" s="6" t="inlineStr">
        <is>
          <t>A</t>
        </is>
      </c>
      <c r="J20" s="6" t="inlineStr">
        <is>
          <t>Not Run</t>
        </is>
      </c>
      <c r="K20" s="6" t="n"/>
      <c r="L20" s="6" t="n"/>
      <c r="M20" s="6" t="n"/>
      <c r="N20" s="6" t="n"/>
      <c r="O20" s="6" t="n"/>
      <c r="P20" s="6" t="n"/>
    </row>
    <row r="21">
      <c r="A21" s="6" t="inlineStr">
        <is>
          <t>TC-020</t>
        </is>
      </c>
      <c r="B21" s="6" t="inlineStr">
        <is>
          <t>TS-01</t>
        </is>
      </c>
      <c r="C21" s="6" t="inlineStr">
        <is>
          <t>The reset form is prefilled with a hardcoded sample address</t>
        </is>
      </c>
      <c r="D21" s="6" t="inlineStr">
        <is>
          <t>UX</t>
        </is>
      </c>
      <c r="E21" s="6" t="inlineStr">
        <is>
          <t>Medium</t>
        </is>
      </c>
      <c r="F21" s="6" t="inlineStr">
        <is>
          <t>/reset</t>
        </is>
      </c>
      <c r="G21" s="6" t="inlineStr">
        <is>
          <t>Any</t>
        </is>
      </c>
      <c r="H21" s="6" t="inlineStr">
        <is>
          <t>Yes</t>
        </is>
      </c>
      <c r="I21" s="6" t="inlineStr">
        <is>
          <t>A</t>
        </is>
      </c>
      <c r="J21" s="6" t="inlineStr">
        <is>
          <t>Not Run</t>
        </is>
      </c>
      <c r="K21" s="6" t="n"/>
      <c r="L21" s="6" t="n"/>
      <c r="M21" s="6" t="n"/>
      <c r="N21" s="6" t="n"/>
      <c r="O21" s="6" t="n"/>
      <c r="P21" s="6" t="n"/>
    </row>
    <row r="22">
      <c r="A22" s="6" t="inlineStr">
        <is>
          <t>TC-021</t>
        </is>
      </c>
      <c r="B22" s="6" t="inlineStr">
        <is>
          <t>TS-01</t>
        </is>
      </c>
      <c r="C22" s="6" t="inlineStr">
        <is>
          <t>Join a workspace from an invitation link</t>
        </is>
      </c>
      <c r="D22" s="6" t="inlineStr">
        <is>
          <t>E2E</t>
        </is>
      </c>
      <c r="E22" s="6" t="inlineStr">
        <is>
          <t>Critical</t>
        </is>
      </c>
      <c r="F22" s="6" t="inlineStr">
        <is>
          <t>/accept-invite?token=… → /</t>
        </is>
      </c>
      <c r="G22" s="6" t="inlineStr">
        <is>
          <t>P10 Engineer</t>
        </is>
      </c>
      <c r="H22" s="6" t="inlineStr">
        <is>
          <t>No</t>
        </is>
      </c>
      <c r="I22" s="6" t="inlineStr">
        <is>
          <t>A</t>
        </is>
      </c>
      <c r="J22" s="6" t="inlineStr">
        <is>
          <t>Not Run</t>
        </is>
      </c>
      <c r="K22" s="6" t="n"/>
      <c r="L22" s="6" t="n"/>
      <c r="M22" s="6" t="n"/>
      <c r="N22" s="6" t="n"/>
      <c r="O22" s="6" t="n"/>
      <c r="P22" s="6" t="n"/>
    </row>
    <row r="23">
      <c r="A23" s="6" t="inlineStr">
        <is>
          <t>TC-022</t>
        </is>
      </c>
      <c r="B23" s="6" t="inlineStr">
        <is>
          <t>TS-01</t>
        </is>
      </c>
      <c r="C23" s="6" t="inlineStr">
        <is>
          <t>An expired or already-used invite link shows the expired state</t>
        </is>
      </c>
      <c r="D23" s="6" t="inlineStr">
        <is>
          <t>Negative</t>
        </is>
      </c>
      <c r="E23" s="6" t="inlineStr">
        <is>
          <t>Medium</t>
        </is>
      </c>
      <c r="F23" s="6" t="inlineStr">
        <is>
          <t>/accept-invite?token=…</t>
        </is>
      </c>
      <c r="G23" s="6" t="inlineStr">
        <is>
          <t>Any</t>
        </is>
      </c>
      <c r="H23" s="6" t="inlineStr">
        <is>
          <t>Yes</t>
        </is>
      </c>
      <c r="I23" s="6" t="inlineStr">
        <is>
          <t>A</t>
        </is>
      </c>
      <c r="J23" s="6" t="inlineStr">
        <is>
          <t>Not Run</t>
        </is>
      </c>
      <c r="K23" s="6" t="n"/>
      <c r="L23" s="6" t="n"/>
      <c r="M23" s="6" t="n"/>
      <c r="N23" s="6" t="n"/>
      <c r="O23" s="6" t="n"/>
      <c r="P23" s="6" t="n"/>
    </row>
    <row r="24">
      <c r="A24" s="6" t="inlineStr">
        <is>
          <t>TC-501</t>
        </is>
      </c>
      <c r="B24" s="6" t="inlineStr">
        <is>
          <t>TS-01</t>
        </is>
      </c>
      <c r="C24" s="6" t="inlineStr">
        <is>
          <t>Signup with a blank full name is refused silently</t>
        </is>
      </c>
      <c r="D24" s="6" t="inlineStr">
        <is>
          <t>Negative</t>
        </is>
      </c>
      <c r="E24" s="6" t="inlineStr">
        <is>
          <t>Medium</t>
        </is>
      </c>
      <c r="F24" s="6" t="inlineStr">
        <is>
          <t>/signup</t>
        </is>
      </c>
      <c r="G24" s="6" t="inlineStr">
        <is>
          <t>Any</t>
        </is>
      </c>
      <c r="H24" s="6" t="inlineStr">
        <is>
          <t>Yes</t>
        </is>
      </c>
      <c r="I24" s="6" t="inlineStr">
        <is>
          <t>A</t>
        </is>
      </c>
      <c r="J24" s="6" t="inlineStr">
        <is>
          <t>Not Run</t>
        </is>
      </c>
      <c r="K24" s="6" t="n"/>
      <c r="L24" s="6" t="n"/>
      <c r="M24" s="6" t="n"/>
      <c r="N24" s="6" t="n"/>
      <c r="O24" s="6" t="n"/>
      <c r="P24" s="6" t="n"/>
    </row>
    <row r="25">
      <c r="A25" s="6" t="inlineStr">
        <is>
          <t>TC-502</t>
        </is>
      </c>
      <c r="B25" s="6" t="inlineStr">
        <is>
          <t>TS-01</t>
        </is>
      </c>
      <c r="C25" s="6" t="inlineStr">
        <is>
          <t>A short password on the invitation form is refused silently</t>
        </is>
      </c>
      <c r="D25" s="6" t="inlineStr">
        <is>
          <t>Negative</t>
        </is>
      </c>
      <c r="E25" s="6" t="inlineStr">
        <is>
          <t>Medium</t>
        </is>
      </c>
      <c r="F25" s="6" t="inlineStr">
        <is>
          <t>/accept-invite?token=…</t>
        </is>
      </c>
      <c r="G25" s="6" t="inlineStr">
        <is>
          <t>P10 Engineer</t>
        </is>
      </c>
      <c r="H25" s="6" t="inlineStr">
        <is>
          <t>No</t>
        </is>
      </c>
      <c r="I25" s="6" t="inlineStr">
        <is>
          <t>A</t>
        </is>
      </c>
      <c r="J25" s="6" t="inlineStr">
        <is>
          <t>Not Run</t>
        </is>
      </c>
      <c r="K25" s="6" t="n"/>
      <c r="L25" s="6" t="n"/>
      <c r="M25" s="6" t="n"/>
      <c r="N25" s="6" t="n"/>
      <c r="O25" s="6" t="n"/>
      <c r="P25" s="6" t="n"/>
    </row>
    <row r="26">
      <c r="A26" s="6" t="inlineStr">
        <is>
          <t>TC-503</t>
        </is>
      </c>
      <c r="B26" s="6" t="inlineStr">
        <is>
          <t>TS-01</t>
        </is>
      </c>
      <c r="C26" s="6" t="inlineStr">
        <is>
          <t>A signed-in user opening an invite or reset link is bounced with no explanation</t>
        </is>
      </c>
      <c r="D26" s="6" t="inlineStr">
        <is>
          <t>UX</t>
        </is>
      </c>
      <c r="E26" s="6" t="inlineStr">
        <is>
          <t>Medium</t>
        </is>
      </c>
      <c r="F26" s="6" t="inlineStr">
        <is>
          <t>/accept-invite?token=… · /reset?token=… → /</t>
        </is>
      </c>
      <c r="G26" s="6" t="inlineStr">
        <is>
          <t>P1 Owner-Admin</t>
        </is>
      </c>
      <c r="H26" s="6" t="inlineStr">
        <is>
          <t>Yes</t>
        </is>
      </c>
      <c r="I26" s="6" t="inlineStr">
        <is>
          <t>A</t>
        </is>
      </c>
      <c r="J26" s="6" t="inlineStr">
        <is>
          <t>Not Run</t>
        </is>
      </c>
      <c r="K26" s="6" t="n"/>
      <c r="L26" s="6" t="n"/>
      <c r="M26" s="6" t="n"/>
      <c r="N26" s="6" t="n"/>
      <c r="O26" s="6" t="n"/>
      <c r="P26" s="6" t="n"/>
    </row>
    <row r="27">
      <c r="A27" s="6" t="inlineStr">
        <is>
          <t>TC-504</t>
        </is>
      </c>
      <c r="B27" s="6" t="inlineStr">
        <is>
          <t>TS-01</t>
        </is>
      </c>
      <c r="C27" s="6" t="inlineStr">
        <is>
          <t>A short password on the reset form is refused silently</t>
        </is>
      </c>
      <c r="D27" s="6" t="inlineStr">
        <is>
          <t>Negative</t>
        </is>
      </c>
      <c r="E27" s="6" t="inlineStr">
        <is>
          <t>Medium</t>
        </is>
      </c>
      <c r="F27" s="6" t="inlineStr">
        <is>
          <t>/reset?token=…</t>
        </is>
      </c>
      <c r="G27" s="6" t="inlineStr">
        <is>
          <t>P1 Owner-Admin</t>
        </is>
      </c>
      <c r="H27" s="6" t="inlineStr">
        <is>
          <t>No</t>
        </is>
      </c>
      <c r="I27" s="6" t="inlineStr">
        <is>
          <t>A</t>
        </is>
      </c>
      <c r="J27" s="6" t="inlineStr">
        <is>
          <t>Not Run</t>
        </is>
      </c>
      <c r="K27" s="6" t="n"/>
      <c r="L27" s="6" t="n"/>
      <c r="M27" s="6" t="n"/>
      <c r="N27" s="6" t="n"/>
      <c r="O27" s="6" t="n"/>
      <c r="P27" s="6" t="n"/>
    </row>
    <row r="28">
      <c r="A28" s="6" t="inlineStr">
        <is>
          <t>TC-023</t>
        </is>
      </c>
      <c r="B28" s="6" t="inlineStr">
        <is>
          <t>TS-02</t>
        </is>
      </c>
      <c r="C28" s="6" t="inlineStr">
        <is>
          <t>The users table lists everyone in the workspace</t>
        </is>
      </c>
      <c r="D28" s="6" t="inlineStr">
        <is>
          <t>Functional</t>
        </is>
      </c>
      <c r="E28" s="6" t="inlineStr">
        <is>
          <t>High</t>
        </is>
      </c>
      <c r="F28" s="6" t="inlineStr">
        <is>
          <t>/admin/users</t>
        </is>
      </c>
      <c r="G28" s="6" t="inlineStr">
        <is>
          <t>P1 Owner-Admin</t>
        </is>
      </c>
      <c r="H28" s="6" t="inlineStr">
        <is>
          <t>Yes</t>
        </is>
      </c>
      <c r="I28" s="6" t="inlineStr">
        <is>
          <t>A</t>
        </is>
      </c>
      <c r="J28" s="6" t="inlineStr">
        <is>
          <t>Not Run</t>
        </is>
      </c>
      <c r="K28" s="6" t="n"/>
      <c r="L28" s="6" t="n"/>
      <c r="M28" s="6" t="n"/>
      <c r="N28" s="6" t="n"/>
      <c r="O28" s="6" t="n"/>
      <c r="P28" s="6" t="n"/>
    </row>
    <row r="29">
      <c r="A29" s="6" t="inlineStr">
        <is>
          <t>TC-024</t>
        </is>
      </c>
      <c r="B29" s="6" t="inlineStr">
        <is>
          <t>TS-02</t>
        </is>
      </c>
      <c r="C29" s="6" t="inlineStr">
        <is>
          <t>Invite a teammate with a project and role grant</t>
        </is>
      </c>
      <c r="D29" s="6" t="inlineStr">
        <is>
          <t>Functional</t>
        </is>
      </c>
      <c r="E29" s="6" t="inlineStr">
        <is>
          <t>Critical</t>
        </is>
      </c>
      <c r="F29" s="6" t="inlineStr">
        <is>
          <t>/admin/users</t>
        </is>
      </c>
      <c r="G29" s="6" t="inlineStr">
        <is>
          <t>P1 Owner-Admin</t>
        </is>
      </c>
      <c r="H29" s="6" t="inlineStr">
        <is>
          <t>Yes</t>
        </is>
      </c>
      <c r="I29" s="6" t="inlineStr">
        <is>
          <t>A</t>
        </is>
      </c>
      <c r="J29" s="6" t="inlineStr">
        <is>
          <t>Not Run</t>
        </is>
      </c>
      <c r="K29" s="6" t="n"/>
      <c r="L29" s="6" t="n"/>
      <c r="M29" s="6" t="n"/>
      <c r="N29" s="6" t="n"/>
      <c r="O29" s="6" t="n"/>
      <c r="P29" s="6" t="n"/>
    </row>
    <row r="30">
      <c r="A30" s="6" t="inlineStr">
        <is>
          <t>TC-025</t>
        </is>
      </c>
      <c r="B30" s="6" t="inlineStr">
        <is>
          <t>TS-02</t>
        </is>
      </c>
      <c r="C30" s="6" t="inlineStr">
        <is>
          <t>Inviting an address that is already a member is refused</t>
        </is>
      </c>
      <c r="D30" s="6" t="inlineStr">
        <is>
          <t>Negative</t>
        </is>
      </c>
      <c r="E30" s="6" t="inlineStr">
        <is>
          <t>High</t>
        </is>
      </c>
      <c r="F30" s="6" t="inlineStr">
        <is>
          <t>/admin/users</t>
        </is>
      </c>
      <c r="G30" s="6" t="inlineStr">
        <is>
          <t>P1 Owner-Admin</t>
        </is>
      </c>
      <c r="H30" s="6" t="inlineStr">
        <is>
          <t>Yes</t>
        </is>
      </c>
      <c r="I30" s="6" t="inlineStr">
        <is>
          <t>A</t>
        </is>
      </c>
      <c r="J30" s="6" t="inlineStr">
        <is>
          <t>Not Run</t>
        </is>
      </c>
      <c r="K30" s="6" t="n"/>
      <c r="L30" s="6" t="n"/>
      <c r="M30" s="6" t="n"/>
      <c r="N30" s="6" t="n"/>
      <c r="O30" s="6" t="n"/>
      <c r="P30" s="6" t="n"/>
    </row>
    <row r="31">
      <c r="A31" s="6" t="inlineStr">
        <is>
          <t>TC-026</t>
        </is>
      </c>
      <c r="B31" s="6" t="inlineStr">
        <is>
          <t>TS-02</t>
        </is>
      </c>
      <c r="C31" s="6" t="inlineStr">
        <is>
          <t>Resend a pending invitation</t>
        </is>
      </c>
      <c r="D31" s="6" t="inlineStr">
        <is>
          <t>Functional</t>
        </is>
      </c>
      <c r="E31" s="6" t="inlineStr">
        <is>
          <t>Medium</t>
        </is>
      </c>
      <c r="F31" s="6" t="inlineStr">
        <is>
          <t>/admin/users</t>
        </is>
      </c>
      <c r="G31" s="6" t="inlineStr">
        <is>
          <t>P1 Owner-Admin</t>
        </is>
      </c>
      <c r="H31" s="6" t="inlineStr">
        <is>
          <t>No</t>
        </is>
      </c>
      <c r="I31" s="6" t="inlineStr">
        <is>
          <t>A</t>
        </is>
      </c>
      <c r="J31" s="6" t="inlineStr">
        <is>
          <t>Not Run</t>
        </is>
      </c>
      <c r="K31" s="6" t="n"/>
      <c r="L31" s="6" t="n"/>
      <c r="M31" s="6" t="n"/>
      <c r="N31" s="6" t="n"/>
      <c r="O31" s="6" t="n"/>
      <c r="P31" s="6" t="n"/>
    </row>
    <row r="32">
      <c r="A32" s="6" t="inlineStr">
        <is>
          <t>TC-027</t>
        </is>
      </c>
      <c r="B32" s="6" t="inlineStr">
        <is>
          <t>TS-02</t>
        </is>
      </c>
      <c r="C32" s="6" t="inlineStr">
        <is>
          <t>Revoke a pending invitation</t>
        </is>
      </c>
      <c r="D32" s="6" t="inlineStr">
        <is>
          <t>Functional</t>
        </is>
      </c>
      <c r="E32" s="6" t="inlineStr">
        <is>
          <t>High</t>
        </is>
      </c>
      <c r="F32" s="6" t="inlineStr">
        <is>
          <t>/admin/users</t>
        </is>
      </c>
      <c r="G32" s="6" t="inlineStr">
        <is>
          <t>P1 Owner-Admin</t>
        </is>
      </c>
      <c r="H32" s="6" t="inlineStr">
        <is>
          <t>No</t>
        </is>
      </c>
      <c r="I32" s="6" t="inlineStr">
        <is>
          <t>A</t>
        </is>
      </c>
      <c r="J32" s="6" t="inlineStr">
        <is>
          <t>Not Run</t>
        </is>
      </c>
      <c r="K32" s="6" t="n"/>
      <c r="L32" s="6" t="n"/>
      <c r="M32" s="6" t="n"/>
      <c r="N32" s="6" t="n"/>
      <c r="O32" s="6" t="n"/>
      <c r="P32" s="6" t="n"/>
    </row>
    <row r="33">
      <c r="A33" s="6" t="inlineStr">
        <is>
          <t>TC-028</t>
        </is>
      </c>
      <c r="B33" s="6" t="inlineStr">
        <is>
          <t>TS-02</t>
        </is>
      </c>
      <c r="C33" s="6" t="inlineStr">
        <is>
          <t>The users empty state</t>
        </is>
      </c>
      <c r="D33" s="6" t="inlineStr">
        <is>
          <t>UX</t>
        </is>
      </c>
      <c r="E33" s="6" t="inlineStr">
        <is>
          <t>Low</t>
        </is>
      </c>
      <c r="F33" s="6" t="inlineStr">
        <is>
          <t>/admin/users</t>
        </is>
      </c>
      <c r="G33" s="6" t="inlineStr">
        <is>
          <t>P1 Owner-Admin</t>
        </is>
      </c>
      <c r="H33" s="6" t="inlineStr">
        <is>
          <t>No</t>
        </is>
      </c>
      <c r="I33" s="6" t="inlineStr">
        <is>
          <t>A</t>
        </is>
      </c>
      <c r="J33" s="6" t="inlineStr">
        <is>
          <t>Not Run</t>
        </is>
      </c>
      <c r="K33" s="6" t="n"/>
      <c r="L33" s="6" t="n"/>
      <c r="M33" s="6" t="n"/>
      <c r="N33" s="6" t="n"/>
      <c r="O33" s="6" t="n"/>
      <c r="P33" s="6" t="n"/>
    </row>
    <row r="34">
      <c r="A34" s="6" t="inlineStr">
        <is>
          <t>TC-029</t>
        </is>
      </c>
      <c r="B34" s="6" t="inlineStr">
        <is>
          <t>TS-02</t>
        </is>
      </c>
      <c r="C34" s="6" t="inlineStr">
        <is>
          <t>The role matrix renders with a column per role</t>
        </is>
      </c>
      <c r="D34" s="6" t="inlineStr">
        <is>
          <t>Functional</t>
        </is>
      </c>
      <c r="E34" s="6" t="inlineStr">
        <is>
          <t>High</t>
        </is>
      </c>
      <c r="F34" s="6" t="inlineStr">
        <is>
          <t>/admin/roles</t>
        </is>
      </c>
      <c r="G34" s="6" t="inlineStr">
        <is>
          <t>P1 Owner-Admin</t>
        </is>
      </c>
      <c r="H34" s="6" t="inlineStr">
        <is>
          <t>Yes</t>
        </is>
      </c>
      <c r="I34" s="6" t="inlineStr">
        <is>
          <t>A</t>
        </is>
      </c>
      <c r="J34" s="6" t="inlineStr">
        <is>
          <t>Not Run</t>
        </is>
      </c>
      <c r="K34" s="6" t="n"/>
      <c r="L34" s="6" t="n"/>
      <c r="M34" s="6" t="n"/>
      <c r="N34" s="6" t="n"/>
      <c r="O34" s="6" t="n"/>
      <c r="P34" s="6" t="n"/>
    </row>
    <row r="35">
      <c r="A35" s="6" t="inlineStr">
        <is>
          <t>TC-030</t>
        </is>
      </c>
      <c r="B35" s="6" t="inlineStr">
        <is>
          <t>TS-02</t>
        </is>
      </c>
      <c r="C35" s="6" t="inlineStr">
        <is>
          <t>Toggling a role grants it and updates gate-role coverage</t>
        </is>
      </c>
      <c r="D35" s="6" t="inlineStr">
        <is>
          <t>Functional</t>
        </is>
      </c>
      <c r="E35" s="6" t="inlineStr">
        <is>
          <t>Critical</t>
        </is>
      </c>
      <c r="F35" s="6" t="inlineStr">
        <is>
          <t>/admin/roles</t>
        </is>
      </c>
      <c r="G35" s="6" t="inlineStr">
        <is>
          <t>P1 Owner-Admin</t>
        </is>
      </c>
      <c r="H35" s="6" t="inlineStr">
        <is>
          <t>Yes</t>
        </is>
      </c>
      <c r="I35" s="6" t="inlineStr">
        <is>
          <t>A</t>
        </is>
      </c>
      <c r="J35" s="6" t="inlineStr">
        <is>
          <t>Not Run</t>
        </is>
      </c>
      <c r="K35" s="6" t="n"/>
      <c r="L35" s="6" t="n"/>
      <c r="M35" s="6" t="n"/>
      <c r="N35" s="6" t="n"/>
      <c r="O35" s="6" t="n"/>
      <c r="P35" s="6" t="n"/>
    </row>
    <row r="36">
      <c r="A36" s="6" t="inlineStr">
        <is>
          <t>TC-031</t>
        </is>
      </c>
      <c r="B36" s="6" t="inlineStr">
        <is>
          <t>TS-02</t>
        </is>
      </c>
      <c r="C36" s="6" t="inlineStr">
        <is>
          <t>The last admin cannot remove their own admin role</t>
        </is>
      </c>
      <c r="D36" s="6" t="inlineStr">
        <is>
          <t>Negative</t>
        </is>
      </c>
      <c r="E36" s="6" t="inlineStr">
        <is>
          <t>Critical</t>
        </is>
      </c>
      <c r="F36" s="6" t="inlineStr">
        <is>
          <t>/admin/roles</t>
        </is>
      </c>
      <c r="G36" s="6" t="inlineStr">
        <is>
          <t>P1 Owner-Admin</t>
        </is>
      </c>
      <c r="H36" s="6" t="inlineStr">
        <is>
          <t>Yes</t>
        </is>
      </c>
      <c r="I36" s="6" t="inlineStr">
        <is>
          <t>A</t>
        </is>
      </c>
      <c r="J36" s="6" t="inlineStr">
        <is>
          <t>Not Run</t>
        </is>
      </c>
      <c r="K36" s="6" t="n"/>
      <c r="L36" s="6" t="n"/>
      <c r="M36" s="6" t="n"/>
      <c r="N36" s="6" t="n"/>
      <c r="O36" s="6" t="n"/>
      <c r="P36" s="6" t="n"/>
    </row>
    <row r="37">
      <c r="A37" s="6" t="inlineStr">
        <is>
          <t>TC-033</t>
        </is>
      </c>
      <c r="B37" s="6" t="inlineStr">
        <is>
          <t>TS-02</t>
        </is>
      </c>
      <c r="C37" s="6" t="inlineStr">
        <is>
          <t>The project select on the roles screen is inert</t>
        </is>
      </c>
      <c r="D37" s="6" t="inlineStr">
        <is>
          <t>UX</t>
        </is>
      </c>
      <c r="E37" s="6" t="inlineStr">
        <is>
          <t>Low</t>
        </is>
      </c>
      <c r="F37" s="6" t="inlineStr">
        <is>
          <t>/admin/roles</t>
        </is>
      </c>
      <c r="G37" s="6" t="inlineStr">
        <is>
          <t>P1 Owner-Admin</t>
        </is>
      </c>
      <c r="H37" s="6" t="inlineStr">
        <is>
          <t>Yes</t>
        </is>
      </c>
      <c r="I37" s="6" t="inlineStr">
        <is>
          <t>A</t>
        </is>
      </c>
      <c r="J37" s="6" t="inlineStr">
        <is>
          <t>Not Run</t>
        </is>
      </c>
      <c r="K37" s="6" t="n"/>
      <c r="L37" s="6" t="n"/>
      <c r="M37" s="6" t="n"/>
      <c r="N37" s="6" t="n"/>
      <c r="O37" s="6" t="n"/>
      <c r="P37" s="6" t="n"/>
    </row>
    <row r="38">
      <c r="A38" s="6" t="inlineStr">
        <is>
          <t>TC-034</t>
        </is>
      </c>
      <c r="B38" s="6" t="inlineStr">
        <is>
          <t>TS-02</t>
        </is>
      </c>
      <c r="C38" s="6" t="inlineStr">
        <is>
          <t>A non-admin deep-linking to /admin/users is refused</t>
        </is>
      </c>
      <c r="D38" s="6" t="inlineStr">
        <is>
          <t>Permission</t>
        </is>
      </c>
      <c r="E38" s="6" t="inlineStr">
        <is>
          <t>Critical</t>
        </is>
      </c>
      <c r="F38" s="6" t="inlineStr">
        <is>
          <t>/admin/users</t>
        </is>
      </c>
      <c r="G38" s="6" t="inlineStr">
        <is>
          <t>P10 Engineer</t>
        </is>
      </c>
      <c r="H38" s="6" t="inlineStr">
        <is>
          <t>Yes</t>
        </is>
      </c>
      <c r="I38" s="6" t="inlineStr">
        <is>
          <t>A</t>
        </is>
      </c>
      <c r="J38" s="6" t="inlineStr">
        <is>
          <t>Not Run</t>
        </is>
      </c>
      <c r="K38" s="6" t="n"/>
      <c r="L38" s="6" t="n"/>
      <c r="M38" s="6" t="n"/>
      <c r="N38" s="6" t="n"/>
      <c r="O38" s="6" t="n"/>
      <c r="P38" s="6" t="n"/>
    </row>
    <row r="39">
      <c r="A39" s="6" t="inlineStr">
        <is>
          <t>TC-035</t>
        </is>
      </c>
      <c r="B39" s="6" t="inlineStr">
        <is>
          <t>TS-02</t>
        </is>
      </c>
      <c r="C39" s="6" t="inlineStr">
        <is>
          <t>Admin navigation is hidden from a non-admin</t>
        </is>
      </c>
      <c r="D39" s="6" t="inlineStr">
        <is>
          <t>Permission</t>
        </is>
      </c>
      <c r="E39" s="6" t="inlineStr">
        <is>
          <t>High</t>
        </is>
      </c>
      <c r="F39" s="6" t="inlineStr">
        <is>
          <t>app shell (sidebar)</t>
        </is>
      </c>
      <c r="G39" s="6" t="inlineStr">
        <is>
          <t>P10 Engineer</t>
        </is>
      </c>
      <c r="H39" s="6" t="inlineStr">
        <is>
          <t>Yes</t>
        </is>
      </c>
      <c r="I39" s="6" t="inlineStr">
        <is>
          <t>A</t>
        </is>
      </c>
      <c r="J39" s="6" t="inlineStr">
        <is>
          <t>Not Run</t>
        </is>
      </c>
      <c r="K39" s="6" t="n"/>
      <c r="L39" s="6" t="n"/>
      <c r="M39" s="6" t="n"/>
      <c r="N39" s="6" t="n"/>
      <c r="O39" s="6" t="n"/>
      <c r="P39" s="6" t="n"/>
    </row>
    <row r="40">
      <c r="A40" s="6" t="inlineStr">
        <is>
          <t>TC-036</t>
        </is>
      </c>
      <c r="B40" s="6" t="inlineStr">
        <is>
          <t>TS-02</t>
        </is>
      </c>
      <c r="C40" s="6" t="inlineStr">
        <is>
          <t>A non-admin on /test-reporting gets the workspace-admin refusal</t>
        </is>
      </c>
      <c r="D40" s="6" t="inlineStr">
        <is>
          <t>Permission</t>
        </is>
      </c>
      <c r="E40" s="6" t="inlineStr">
        <is>
          <t>Medium</t>
        </is>
      </c>
      <c r="F40" s="6" t="inlineStr">
        <is>
          <t>/test-reporting</t>
        </is>
      </c>
      <c r="G40" s="6" t="inlineStr">
        <is>
          <t>P10 Engineer</t>
        </is>
      </c>
      <c r="H40" s="6" t="inlineStr">
        <is>
          <t>Yes</t>
        </is>
      </c>
      <c r="I40" s="6" t="inlineStr">
        <is>
          <t>A</t>
        </is>
      </c>
      <c r="J40" s="6" t="inlineStr">
        <is>
          <t>Not Run</t>
        </is>
      </c>
      <c r="K40" s="6" t="n"/>
      <c r="L40" s="6" t="n"/>
      <c r="M40" s="6" t="n"/>
      <c r="N40" s="6" t="n"/>
      <c r="O40" s="6" t="n"/>
      <c r="P40" s="6" t="n"/>
    </row>
    <row r="41">
      <c r="A41" s="6" t="inlineStr">
        <is>
          <t>TC-521</t>
        </is>
      </c>
      <c r="B41" s="6" t="inlineStr">
        <is>
          <t>TS-02</t>
        </is>
      </c>
      <c r="C41" s="6" t="inlineStr">
        <is>
          <t>A user with two roles on one project sees that project twice in the selector</t>
        </is>
      </c>
      <c r="D41" s="6" t="inlineStr">
        <is>
          <t>Functional</t>
        </is>
      </c>
      <c r="E41" s="6" t="inlineStr">
        <is>
          <t>Medium</t>
        </is>
      </c>
      <c r="F41" s="6" t="inlineStr">
        <is>
          <t>/admin/roles → app shell top bar</t>
        </is>
      </c>
      <c r="G41" s="6" t="inlineStr">
        <is>
          <t>P10 Engineer</t>
        </is>
      </c>
      <c r="H41" s="6" t="inlineStr">
        <is>
          <t>Yes</t>
        </is>
      </c>
      <c r="I41" s="6" t="inlineStr">
        <is>
          <t>A</t>
        </is>
      </c>
      <c r="J41" s="6" t="inlineStr">
        <is>
          <t>Not Run</t>
        </is>
      </c>
      <c r="K41" s="6" t="n"/>
      <c r="L41" s="6" t="n"/>
      <c r="M41" s="6" t="n"/>
      <c r="N41" s="6" t="n"/>
      <c r="O41" s="6" t="n"/>
      <c r="P41" s="6" t="n"/>
    </row>
    <row r="42">
      <c r="A42" s="6" t="inlineStr">
        <is>
          <t>TC-522</t>
        </is>
      </c>
      <c r="B42" s="6" t="inlineStr">
        <is>
          <t>TS-02</t>
        </is>
      </c>
      <c r="C42" s="6" t="inlineStr">
        <is>
          <t>An unknown /admin/* URL renders a developer placeholder</t>
        </is>
      </c>
      <c r="D42" s="6" t="inlineStr">
        <is>
          <t>Negative</t>
        </is>
      </c>
      <c r="E42" s="6" t="inlineStr">
        <is>
          <t>Low</t>
        </is>
      </c>
      <c r="F42" s="6" t="inlineStr">
        <is>
          <t>/admin/&lt;anything&gt;</t>
        </is>
      </c>
      <c r="G42" s="6" t="inlineStr">
        <is>
          <t>P1 Owner-Admin</t>
        </is>
      </c>
      <c r="H42" s="6" t="inlineStr">
        <is>
          <t>Yes</t>
        </is>
      </c>
      <c r="I42" s="6" t="inlineStr">
        <is>
          <t>A</t>
        </is>
      </c>
      <c r="J42" s="6" t="inlineStr">
        <is>
          <t>Not Run</t>
        </is>
      </c>
      <c r="K42" s="6" t="n"/>
      <c r="L42" s="6" t="n"/>
      <c r="M42" s="6" t="n"/>
      <c r="N42" s="6" t="n"/>
      <c r="O42" s="6" t="n"/>
      <c r="P42" s="6" t="n"/>
    </row>
    <row r="43">
      <c r="A43" s="6" t="inlineStr">
        <is>
          <t>TC-037</t>
        </is>
      </c>
      <c r="B43" s="6" t="inlineStr">
        <is>
          <t>TS-03</t>
        </is>
      </c>
      <c r="C43" s="6" t="inlineStr">
        <is>
          <t>Create a greenfield project</t>
        </is>
      </c>
      <c r="D43" s="6" t="inlineStr">
        <is>
          <t>Functional</t>
        </is>
      </c>
      <c r="E43" s="6" t="inlineStr">
        <is>
          <t>Critical</t>
        </is>
      </c>
      <c r="F43" s="6" t="inlineStr">
        <is>
          <t>/projects/new → /profile</t>
        </is>
      </c>
      <c r="G43" s="6" t="inlineStr">
        <is>
          <t>P1 Owner-Admin</t>
        </is>
      </c>
      <c r="H43" s="6" t="inlineStr">
        <is>
          <t>Yes</t>
        </is>
      </c>
      <c r="I43" s="6" t="inlineStr">
        <is>
          <t>A</t>
        </is>
      </c>
      <c r="J43" s="6" t="inlineStr">
        <is>
          <t>Not Run</t>
        </is>
      </c>
      <c r="K43" s="6" t="n"/>
      <c r="L43" s="6" t="n"/>
      <c r="M43" s="6" t="n"/>
      <c r="N43" s="6" t="n"/>
      <c r="O43" s="6" t="n"/>
      <c r="P43" s="6" t="n"/>
    </row>
    <row r="44">
      <c r="A44" s="6" t="inlineStr">
        <is>
          <t>TC-038</t>
        </is>
      </c>
      <c r="B44" s="6" t="inlineStr">
        <is>
          <t>TS-03</t>
        </is>
      </c>
      <c r="C44" s="6" t="inlineStr">
        <is>
          <t>A duplicate project name is accepted, creating two identical projects</t>
        </is>
      </c>
      <c r="D44" s="6" t="inlineStr">
        <is>
          <t>Negative</t>
        </is>
      </c>
      <c r="E44" s="6" t="inlineStr">
        <is>
          <t>High</t>
        </is>
      </c>
      <c r="F44" s="6" t="inlineStr">
        <is>
          <t>/projects/new → /profile</t>
        </is>
      </c>
      <c r="G44" s="6" t="inlineStr">
        <is>
          <t>P1 Owner-Admin</t>
        </is>
      </c>
      <c r="H44" s="6" t="inlineStr">
        <is>
          <t>Yes</t>
        </is>
      </c>
      <c r="I44" s="6" t="inlineStr">
        <is>
          <t>A</t>
        </is>
      </c>
      <c r="J44" s="6" t="inlineStr">
        <is>
          <t>Not Run</t>
        </is>
      </c>
      <c r="K44" s="6" t="n"/>
      <c r="L44" s="6" t="n"/>
      <c r="M44" s="6" t="n"/>
      <c r="N44" s="6" t="n"/>
      <c r="O44" s="6" t="n"/>
      <c r="P44" s="6" t="n"/>
    </row>
    <row r="45">
      <c r="A45" s="6" t="inlineStr">
        <is>
          <t>TC-039</t>
        </is>
      </c>
      <c r="B45" s="6" t="inlineStr">
        <is>
          <t>TS-03</t>
        </is>
      </c>
      <c r="C45" s="6" t="inlineStr">
        <is>
          <t>The Track control explains itself via a tooltip</t>
        </is>
      </c>
      <c r="D45" s="6" t="inlineStr">
        <is>
          <t>UX</t>
        </is>
      </c>
      <c r="E45" s="6" t="inlineStr">
        <is>
          <t>Low</t>
        </is>
      </c>
      <c r="F45" s="6" t="inlineStr">
        <is>
          <t>/projects/new</t>
        </is>
      </c>
      <c r="G45" s="6" t="inlineStr">
        <is>
          <t>P1 Owner-Admin</t>
        </is>
      </c>
      <c r="H45" s="6" t="inlineStr">
        <is>
          <t>No</t>
        </is>
      </c>
      <c r="I45" s="6" t="inlineStr">
        <is>
          <t>A</t>
        </is>
      </c>
      <c r="J45" s="6" t="inlineStr">
        <is>
          <t>Not Run</t>
        </is>
      </c>
      <c r="K45" s="6" t="n"/>
      <c r="L45" s="6" t="n"/>
      <c r="M45" s="6" t="n"/>
      <c r="N45" s="6" t="n"/>
      <c r="O45" s="6" t="n"/>
      <c r="P45" s="6" t="n"/>
    </row>
    <row r="46">
      <c r="A46" s="6" t="inlineStr">
        <is>
          <t>TC-040</t>
        </is>
      </c>
      <c r="B46" s="6" t="inlineStr">
        <is>
          <t>TS-03</t>
        </is>
      </c>
      <c r="C46" s="6" t="inlineStr">
        <is>
          <t>Brownfield routes to onboarding</t>
        </is>
      </c>
      <c r="D46" s="6" t="inlineStr">
        <is>
          <t>Functional</t>
        </is>
      </c>
      <c r="E46" s="6" t="inlineStr">
        <is>
          <t>Medium</t>
        </is>
      </c>
      <c r="F46" s="6" t="inlineStr">
        <is>
          <t>/projects/new → /onboarding</t>
        </is>
      </c>
      <c r="G46" s="6" t="inlineStr">
        <is>
          <t>P1 Owner-Admin</t>
        </is>
      </c>
      <c r="H46" s="6" t="inlineStr">
        <is>
          <t>Yes</t>
        </is>
      </c>
      <c r="I46" s="6" t="inlineStr">
        <is>
          <t>A</t>
        </is>
      </c>
      <c r="J46" s="6" t="inlineStr">
        <is>
          <t>Not Run</t>
        </is>
      </c>
      <c r="K46" s="6" t="n"/>
      <c r="L46" s="6" t="n"/>
      <c r="M46" s="6" t="n"/>
      <c r="N46" s="6" t="n"/>
      <c r="O46" s="6" t="n"/>
      <c r="P46" s="6" t="n"/>
    </row>
    <row r="47">
      <c r="A47" s="6" t="inlineStr">
        <is>
          <t>TC-041</t>
        </is>
      </c>
      <c r="B47" s="6" t="inlineStr">
        <is>
          <t>TS-03</t>
        </is>
      </c>
      <c r="C47" s="6" t="inlineStr">
        <is>
          <t>Save the project profile and return to the setup checklist</t>
        </is>
      </c>
      <c r="D47" s="6" t="inlineStr">
        <is>
          <t>E2E</t>
        </is>
      </c>
      <c r="E47" s="6" t="inlineStr">
        <is>
          <t>Critical</t>
        </is>
      </c>
      <c r="F47" s="6" t="inlineStr">
        <is>
          <t>/profile?setup=1 → /setup</t>
        </is>
      </c>
      <c r="G47" s="6" t="inlineStr">
        <is>
          <t>P1 Owner-Admin</t>
        </is>
      </c>
      <c r="H47" s="6" t="inlineStr">
        <is>
          <t>Yes</t>
        </is>
      </c>
      <c r="I47" s="6" t="inlineStr">
        <is>
          <t>A</t>
        </is>
      </c>
      <c r="J47" s="6" t="inlineStr">
        <is>
          <t>Not Run</t>
        </is>
      </c>
      <c r="K47" s="6" t="n"/>
      <c r="L47" s="6" t="n"/>
      <c r="M47" s="6" t="n"/>
      <c r="N47" s="6" t="n"/>
      <c r="O47" s="6" t="n"/>
      <c r="P47" s="6" t="n"/>
    </row>
    <row r="48">
      <c r="A48" s="6" t="inlineStr">
        <is>
          <t>TC-042</t>
        </is>
      </c>
      <c r="B48" s="6" t="inlineStr">
        <is>
          <t>TS-03</t>
        </is>
      </c>
      <c r="C48" s="6" t="inlineStr">
        <is>
          <t>Re-saving the profile creates a new version</t>
        </is>
      </c>
      <c r="D48" s="6" t="inlineStr">
        <is>
          <t>Functional</t>
        </is>
      </c>
      <c r="E48" s="6" t="inlineStr">
        <is>
          <t>High</t>
        </is>
      </c>
      <c r="F48" s="6" t="inlineStr">
        <is>
          <t>/profile</t>
        </is>
      </c>
      <c r="G48" s="6" t="inlineStr">
        <is>
          <t>P1 Owner-Admin</t>
        </is>
      </c>
      <c r="H48" s="6" t="inlineStr">
        <is>
          <t>Yes</t>
        </is>
      </c>
      <c r="I48" s="6" t="inlineStr">
        <is>
          <t>A</t>
        </is>
      </c>
      <c r="J48" s="6" t="inlineStr">
        <is>
          <t>Not Run</t>
        </is>
      </c>
      <c r="K48" s="6" t="n"/>
      <c r="L48" s="6" t="n"/>
      <c r="M48" s="6" t="n"/>
      <c r="N48" s="6" t="n"/>
      <c r="O48" s="6" t="n"/>
      <c r="P48" s="6" t="n"/>
    </row>
    <row r="49">
      <c r="A49" s="6" t="inlineStr">
        <is>
          <t>TC-043</t>
        </is>
      </c>
      <c r="B49" s="6" t="inlineStr">
        <is>
          <t>TS-03</t>
        </is>
      </c>
      <c r="C49" s="6" t="inlineStr">
        <is>
          <t>The profile will not save without a description, and says nothing about it</t>
        </is>
      </c>
      <c r="D49" s="6" t="inlineStr">
        <is>
          <t>Negative</t>
        </is>
      </c>
      <c r="E49" s="6" t="inlineStr">
        <is>
          <t>High</t>
        </is>
      </c>
      <c r="F49" s="6" t="inlineStr">
        <is>
          <t>/profile</t>
        </is>
      </c>
      <c r="G49" s="6" t="inlineStr">
        <is>
          <t>P1 Owner-Admin</t>
        </is>
      </c>
      <c r="H49" s="6" t="inlineStr">
        <is>
          <t>Yes</t>
        </is>
      </c>
      <c r="I49" s="6" t="inlineStr">
        <is>
          <t>A</t>
        </is>
      </c>
      <c r="J49" s="6" t="inlineStr">
        <is>
          <t>Not Run</t>
        </is>
      </c>
      <c r="K49" s="6" t="n"/>
      <c r="L49" s="6" t="n"/>
      <c r="M49" s="6" t="n"/>
      <c r="N49" s="6" t="n"/>
      <c r="O49" s="6" t="n"/>
      <c r="P49" s="6" t="n"/>
    </row>
    <row r="50">
      <c r="A50" s="6" t="inlineStr">
        <is>
          <t>TC-044</t>
        </is>
      </c>
      <c r="B50" s="6" t="inlineStr">
        <is>
          <t>TS-03</t>
        </is>
      </c>
      <c r="C50" s="6" t="inlineStr">
        <is>
          <t>Export policy offers a row per exportable phase</t>
        </is>
      </c>
      <c r="D50" s="6" t="inlineStr">
        <is>
          <t>Functional</t>
        </is>
      </c>
      <c r="E50" s="6" t="inlineStr">
        <is>
          <t>Medium</t>
        </is>
      </c>
      <c r="F50" s="6" t="inlineStr">
        <is>
          <t>/profile</t>
        </is>
      </c>
      <c r="G50" s="6" t="inlineStr">
        <is>
          <t>P1 Owner-Admin</t>
        </is>
      </c>
      <c r="H50" s="6" t="inlineStr">
        <is>
          <t>Yes</t>
        </is>
      </c>
      <c r="I50" s="6" t="inlineStr">
        <is>
          <t>A</t>
        </is>
      </c>
      <c r="J50" s="6" t="inlineStr">
        <is>
          <t>Not Run</t>
        </is>
      </c>
      <c r="K50" s="6" t="n"/>
      <c r="L50" s="6" t="n"/>
      <c r="M50" s="6" t="n"/>
      <c r="N50" s="6" t="n"/>
      <c r="O50" s="6" t="n"/>
      <c r="P50" s="6" t="n"/>
    </row>
    <row r="51">
      <c r="A51" s="6" t="inlineStr">
        <is>
          <t>TC-045</t>
        </is>
      </c>
      <c r="B51" s="6" t="inlineStr">
        <is>
          <t>TS-03</t>
        </is>
      </c>
      <c r="C51" s="6" t="inlineStr">
        <is>
          <t>UX Design export is locked to internal</t>
        </is>
      </c>
      <c r="D51" s="6" t="inlineStr">
        <is>
          <t>UX</t>
        </is>
      </c>
      <c r="E51" s="6" t="inlineStr">
        <is>
          <t>Low</t>
        </is>
      </c>
      <c r="F51" s="6" t="inlineStr">
        <is>
          <t>/profile</t>
        </is>
      </c>
      <c r="G51" s="6" t="inlineStr">
        <is>
          <t>P1 Owner-Admin</t>
        </is>
      </c>
      <c r="H51" s="6" t="inlineStr">
        <is>
          <t>Yes</t>
        </is>
      </c>
      <c r="I51" s="6" t="inlineStr">
        <is>
          <t>A</t>
        </is>
      </c>
      <c r="J51" s="6" t="inlineStr">
        <is>
          <t>Not Run</t>
        </is>
      </c>
      <c r="K51" s="6" t="n"/>
      <c r="L51" s="6" t="n"/>
      <c r="M51" s="6" t="n"/>
      <c r="N51" s="6" t="n"/>
      <c r="O51" s="6" t="n"/>
      <c r="P51" s="6" t="n"/>
    </row>
    <row r="52">
      <c r="A52" s="6" t="inlineStr">
        <is>
          <t>TC-046</t>
        </is>
      </c>
      <c r="B52" s="6" t="inlineStr">
        <is>
          <t>TS-03</t>
        </is>
      </c>
      <c r="C52" s="6" t="inlineStr">
        <is>
          <t>The repositories empty state</t>
        </is>
      </c>
      <c r="D52" s="6" t="inlineStr">
        <is>
          <t>UX</t>
        </is>
      </c>
      <c r="E52" s="6" t="inlineStr">
        <is>
          <t>Medium</t>
        </is>
      </c>
      <c r="F52" s="6" t="inlineStr">
        <is>
          <t>/repositories</t>
        </is>
      </c>
      <c r="G52" s="6" t="inlineStr">
        <is>
          <t>P1 Owner-Admin</t>
        </is>
      </c>
      <c r="H52" s="6" t="inlineStr">
        <is>
          <t>Yes</t>
        </is>
      </c>
      <c r="I52" s="6" t="inlineStr">
        <is>
          <t>A</t>
        </is>
      </c>
      <c r="J52" s="6" t="inlineStr">
        <is>
          <t>Not Run</t>
        </is>
      </c>
      <c r="K52" s="6" t="n"/>
      <c r="L52" s="6" t="n"/>
      <c r="M52" s="6" t="n"/>
      <c r="N52" s="6" t="n"/>
      <c r="O52" s="6" t="n"/>
      <c r="P52" s="6" t="n"/>
    </row>
    <row r="53">
      <c r="A53" s="6" t="inlineStr">
        <is>
          <t>TC-047</t>
        </is>
      </c>
      <c r="B53" s="6" t="inlineStr">
        <is>
          <t>TS-03</t>
        </is>
      </c>
      <c r="C53" s="6" t="inlineStr">
        <is>
          <t>Add a repository</t>
        </is>
      </c>
      <c r="D53" s="6" t="inlineStr">
        <is>
          <t>Functional</t>
        </is>
      </c>
      <c r="E53" s="6" t="inlineStr">
        <is>
          <t>Critical</t>
        </is>
      </c>
      <c r="F53" s="6" t="inlineStr">
        <is>
          <t>/repositories</t>
        </is>
      </c>
      <c r="G53" s="6" t="inlineStr">
        <is>
          <t>P1 Owner-Admin</t>
        </is>
      </c>
      <c r="H53" s="6" t="inlineStr">
        <is>
          <t>Yes</t>
        </is>
      </c>
      <c r="I53" s="6" t="inlineStr">
        <is>
          <t>A</t>
        </is>
      </c>
      <c r="J53" s="6" t="inlineStr">
        <is>
          <t>Not Run</t>
        </is>
      </c>
      <c r="K53" s="6" t="n"/>
      <c r="L53" s="6" t="n"/>
      <c r="M53" s="6" t="n"/>
      <c r="N53" s="6" t="n"/>
      <c r="O53" s="6" t="n"/>
      <c r="P53" s="6" t="n"/>
    </row>
    <row r="54">
      <c r="A54" s="6" t="inlineStr">
        <is>
          <t>TC-048</t>
        </is>
      </c>
      <c r="B54" s="6" t="inlineStr">
        <is>
          <t>TS-03</t>
        </is>
      </c>
      <c r="C54" s="6" t="inlineStr">
        <is>
          <t>Adding the same repository twice is refused</t>
        </is>
      </c>
      <c r="D54" s="6" t="inlineStr">
        <is>
          <t>Negative</t>
        </is>
      </c>
      <c r="E54" s="6" t="inlineStr">
        <is>
          <t>High</t>
        </is>
      </c>
      <c r="F54" s="6" t="inlineStr">
        <is>
          <t>/repositories</t>
        </is>
      </c>
      <c r="G54" s="6" t="inlineStr">
        <is>
          <t>P1 Owner-Admin</t>
        </is>
      </c>
      <c r="H54" s="6" t="inlineStr">
        <is>
          <t>Yes</t>
        </is>
      </c>
      <c r="I54" s="6" t="inlineStr">
        <is>
          <t>A</t>
        </is>
      </c>
      <c r="J54" s="6" t="inlineStr">
        <is>
          <t>Not Run</t>
        </is>
      </c>
      <c r="K54" s="6" t="n"/>
      <c r="L54" s="6" t="n"/>
      <c r="M54" s="6" t="n"/>
      <c r="N54" s="6" t="n"/>
      <c r="O54" s="6" t="n"/>
      <c r="P54" s="6" t="n"/>
    </row>
    <row r="55">
      <c r="A55" s="6" t="inlineStr">
        <is>
          <t>TC-049</t>
        </is>
      </c>
      <c r="B55" s="6" t="inlineStr">
        <is>
          <t>TS-03</t>
        </is>
      </c>
      <c r="C55" s="6" t="inlineStr">
        <is>
          <t>Set and save a repository's preview URL</t>
        </is>
      </c>
      <c r="D55" s="6" t="inlineStr">
        <is>
          <t>Functional</t>
        </is>
      </c>
      <c r="E55" s="6" t="inlineStr">
        <is>
          <t>Medium</t>
        </is>
      </c>
      <c r="F55" s="6" t="inlineStr">
        <is>
          <t>/repositories</t>
        </is>
      </c>
      <c r="G55" s="6" t="inlineStr">
        <is>
          <t>P1 Owner-Admin</t>
        </is>
      </c>
      <c r="H55" s="6" t="inlineStr">
        <is>
          <t>Yes</t>
        </is>
      </c>
      <c r="I55" s="6" t="inlineStr">
        <is>
          <t>A</t>
        </is>
      </c>
      <c r="J55" s="6" t="inlineStr">
        <is>
          <t>Not Run</t>
        </is>
      </c>
      <c r="K55" s="6" t="n"/>
      <c r="L55" s="6" t="n"/>
      <c r="M55" s="6" t="n"/>
      <c r="N55" s="6" t="n"/>
      <c r="O55" s="6" t="n"/>
      <c r="P55" s="6" t="n"/>
    </row>
    <row r="56">
      <c r="A56" s="6" t="inlineStr">
        <is>
          <t>TC-050</t>
        </is>
      </c>
      <c r="B56" s="6" t="inlineStr">
        <is>
          <t>TS-03</t>
        </is>
      </c>
      <c r="C56" s="6" t="inlineStr">
        <is>
          <t>The topology chip changes once a second repository exists</t>
        </is>
      </c>
      <c r="D56" s="6" t="inlineStr">
        <is>
          <t>Functional</t>
        </is>
      </c>
      <c r="E56" s="6" t="inlineStr">
        <is>
          <t>Medium</t>
        </is>
      </c>
      <c r="F56" s="6" t="inlineStr">
        <is>
          <t>/repositories</t>
        </is>
      </c>
      <c r="G56" s="6" t="inlineStr">
        <is>
          <t>P1 Owner-Admin</t>
        </is>
      </c>
      <c r="H56" s="6" t="inlineStr">
        <is>
          <t>Yes</t>
        </is>
      </c>
      <c r="I56" s="6" t="inlineStr">
        <is>
          <t>A</t>
        </is>
      </c>
      <c r="J56" s="6" t="inlineStr">
        <is>
          <t>Not Run</t>
        </is>
      </c>
      <c r="K56" s="6" t="n"/>
      <c r="L56" s="6" t="n"/>
      <c r="M56" s="6" t="n"/>
      <c r="N56" s="6" t="n"/>
      <c r="O56" s="6" t="n"/>
      <c r="P56" s="6" t="n"/>
    </row>
    <row r="57">
      <c r="A57" s="6" t="inlineStr">
        <is>
          <t>TC-051</t>
        </is>
      </c>
      <c r="B57" s="6" t="inlineStr">
        <is>
          <t>TS-03</t>
        </is>
      </c>
      <c r="C57" s="6" t="inlineStr">
        <is>
          <t>The Set default button is unwired</t>
        </is>
      </c>
      <c r="D57" s="6" t="inlineStr">
        <is>
          <t>Functional</t>
        </is>
      </c>
      <c r="E57" s="6" t="inlineStr">
        <is>
          <t>Medium</t>
        </is>
      </c>
      <c r="F57" s="6" t="inlineStr">
        <is>
          <t>/repositories</t>
        </is>
      </c>
      <c r="G57" s="6" t="inlineStr">
        <is>
          <t>P1 Owner-Admin</t>
        </is>
      </c>
      <c r="H57" s="6" t="inlineStr">
        <is>
          <t>Yes</t>
        </is>
      </c>
      <c r="I57" s="6" t="inlineStr">
        <is>
          <t>A</t>
        </is>
      </c>
      <c r="J57" s="6" t="inlineStr">
        <is>
          <t>Not Run</t>
        </is>
      </c>
      <c r="K57" s="6" t="n"/>
      <c r="L57" s="6" t="n"/>
      <c r="M57" s="6" t="n"/>
      <c r="N57" s="6" t="n"/>
      <c r="O57" s="6" t="n"/>
      <c r="P57" s="6" t="n"/>
    </row>
    <row r="58">
      <c r="A58" s="6" t="inlineStr">
        <is>
          <t>TC-052</t>
        </is>
      </c>
      <c r="B58" s="6" t="inlineStr">
        <is>
          <t>TS-03</t>
        </is>
      </c>
      <c r="C58" s="6" t="inlineStr">
        <is>
          <t>Remove a repository</t>
        </is>
      </c>
      <c r="D58" s="6" t="inlineStr">
        <is>
          <t>Functional</t>
        </is>
      </c>
      <c r="E58" s="6" t="inlineStr">
        <is>
          <t>Medium</t>
        </is>
      </c>
      <c r="F58" s="6" t="inlineStr">
        <is>
          <t>/repositories</t>
        </is>
      </c>
      <c r="G58" s="6" t="inlineStr">
        <is>
          <t>P1 Owner-Admin</t>
        </is>
      </c>
      <c r="H58" s="6" t="inlineStr">
        <is>
          <t>Yes</t>
        </is>
      </c>
      <c r="I58" s="6" t="inlineStr">
        <is>
          <t>A</t>
        </is>
      </c>
      <c r="J58" s="6" t="inlineStr">
        <is>
          <t>Not Run</t>
        </is>
      </c>
      <c r="K58" s="6" t="n"/>
      <c r="L58" s="6" t="n"/>
      <c r="M58" s="6" t="n"/>
      <c r="N58" s="6" t="n"/>
      <c r="O58" s="6" t="n"/>
      <c r="P58" s="6" t="n"/>
    </row>
    <row r="59">
      <c r="A59" s="6" t="inlineStr">
        <is>
          <t>TC-053</t>
        </is>
      </c>
      <c r="B59" s="6" t="inlineStr">
        <is>
          <t>TS-03</t>
        </is>
      </c>
      <c r="C59" s="6" t="inlineStr">
        <is>
          <t>Only a tech lead or admin can register a repository</t>
        </is>
      </c>
      <c r="D59" s="6" t="inlineStr">
        <is>
          <t>Permission</t>
        </is>
      </c>
      <c r="E59" s="6" t="inlineStr">
        <is>
          <t>Critical</t>
        </is>
      </c>
      <c r="F59" s="6" t="inlineStr">
        <is>
          <t>/repositories</t>
        </is>
      </c>
      <c r="G59" s="6" t="inlineStr">
        <is>
          <t>P10 Engineer / P5 Tech Lead</t>
        </is>
      </c>
      <c r="H59" s="6" t="inlineStr">
        <is>
          <t>No</t>
        </is>
      </c>
      <c r="I59" s="6" t="inlineStr">
        <is>
          <t>A</t>
        </is>
      </c>
      <c r="J59" s="6" t="inlineStr">
        <is>
          <t>Not Run</t>
        </is>
      </c>
      <c r="K59" s="6" t="n"/>
      <c r="L59" s="6" t="n"/>
      <c r="M59" s="6" t="n"/>
      <c r="N59" s="6" t="n"/>
      <c r="O59" s="6" t="n"/>
      <c r="P59" s="6" t="n"/>
    </row>
    <row r="60">
      <c r="A60" s="6" t="inlineStr">
        <is>
          <t>TC-054</t>
        </is>
      </c>
      <c r="B60" s="6" t="inlineStr">
        <is>
          <t>TS-03</t>
        </is>
      </c>
      <c r="C60" s="6" t="inlineStr">
        <is>
          <t>The setup checklist reflects completed steps</t>
        </is>
      </c>
      <c r="D60" s="6" t="inlineStr">
        <is>
          <t>Functional</t>
        </is>
      </c>
      <c r="E60" s="6" t="inlineStr">
        <is>
          <t>High</t>
        </is>
      </c>
      <c r="F60" s="6" t="inlineStr">
        <is>
          <t>/setup</t>
        </is>
      </c>
      <c r="G60" s="6" t="inlineStr">
        <is>
          <t>P1 Owner-Admin</t>
        </is>
      </c>
      <c r="H60" s="6" t="inlineStr">
        <is>
          <t>Yes</t>
        </is>
      </c>
      <c r="I60" s="6" t="inlineStr">
        <is>
          <t>A</t>
        </is>
      </c>
      <c r="J60" s="6" t="inlineStr">
        <is>
          <t>Not Run</t>
        </is>
      </c>
      <c r="K60" s="6" t="n"/>
      <c r="L60" s="6" t="n"/>
      <c r="M60" s="6" t="n"/>
      <c r="N60" s="6" t="n"/>
      <c r="O60" s="6" t="n"/>
      <c r="P60" s="6" t="n"/>
    </row>
    <row r="61">
      <c r="A61" s="6" t="inlineStr">
        <is>
          <t>TC-055</t>
        </is>
      </c>
      <c r="B61" s="6" t="inlineStr">
        <is>
          <t>TS-03</t>
        </is>
      </c>
      <c r="C61" s="6" t="inlineStr">
        <is>
          <t>Setup step 4 never completes, however many integrations you connect</t>
        </is>
      </c>
      <c r="D61" s="6" t="inlineStr">
        <is>
          <t>UX</t>
        </is>
      </c>
      <c r="E61" s="6" t="inlineStr">
        <is>
          <t>Medium</t>
        </is>
      </c>
      <c r="F61" s="6" t="inlineStr">
        <is>
          <t>/setup → /integrations → /setup</t>
        </is>
      </c>
      <c r="G61" s="6" t="inlineStr">
        <is>
          <t>P1 Owner-Admin</t>
        </is>
      </c>
      <c r="H61" s="6" t="inlineStr">
        <is>
          <t>No</t>
        </is>
      </c>
      <c r="I61" s="6" t="inlineStr">
        <is>
          <t>A</t>
        </is>
      </c>
      <c r="J61" s="6" t="inlineStr">
        <is>
          <t>Not Run</t>
        </is>
      </c>
      <c r="K61" s="6" t="n"/>
      <c r="L61" s="6" t="n"/>
      <c r="M61" s="6" t="n"/>
      <c r="N61" s="6" t="n"/>
      <c r="O61" s="6" t="n"/>
      <c r="P61" s="6" t="n"/>
    </row>
    <row r="62">
      <c r="A62" s="6" t="inlineStr">
        <is>
          <t>TC-541</t>
        </is>
      </c>
      <c r="B62" s="6" t="inlineStr">
        <is>
          <t>TS-03</t>
        </is>
      </c>
      <c r="C62" s="6" t="inlineStr">
        <is>
          <t>A plain engineer can create a project</t>
        </is>
      </c>
      <c r="D62" s="6" t="inlineStr">
        <is>
          <t>Permission</t>
        </is>
      </c>
      <c r="E62" s="6" t="inlineStr">
        <is>
          <t>High</t>
        </is>
      </c>
      <c r="F62" s="6" t="inlineStr">
        <is>
          <t>/projects/new</t>
        </is>
      </c>
      <c r="G62" s="6" t="inlineStr">
        <is>
          <t>P10 Engineer</t>
        </is>
      </c>
      <c r="H62" s="6" t="inlineStr">
        <is>
          <t>Yes</t>
        </is>
      </c>
      <c r="I62" s="6" t="inlineStr">
        <is>
          <t>A</t>
        </is>
      </c>
      <c r="J62" s="6" t="inlineStr">
        <is>
          <t>Not Run</t>
        </is>
      </c>
      <c r="K62" s="6" t="n"/>
      <c r="L62" s="6" t="n"/>
      <c r="M62" s="6" t="n"/>
      <c r="N62" s="6" t="n"/>
      <c r="O62" s="6" t="n"/>
      <c r="P62" s="6" t="n"/>
    </row>
    <row r="63">
      <c r="A63" s="6" t="inlineStr">
        <is>
          <t>TC-542</t>
        </is>
      </c>
      <c r="B63" s="6" t="inlineStr">
        <is>
          <t>TS-03</t>
        </is>
      </c>
      <c r="C63" s="6" t="inlineStr">
        <is>
          <t>A plain engineer can rewrite the project profile every agent reads</t>
        </is>
      </c>
      <c r="D63" s="6" t="inlineStr">
        <is>
          <t>Permission</t>
        </is>
      </c>
      <c r="E63" s="6" t="inlineStr">
        <is>
          <t>Critical</t>
        </is>
      </c>
      <c r="F63" s="6" t="inlineStr">
        <is>
          <t>/profile</t>
        </is>
      </c>
      <c r="G63" s="6" t="inlineStr">
        <is>
          <t>P10 Engineer</t>
        </is>
      </c>
      <c r="H63" s="6" t="inlineStr">
        <is>
          <t>Yes</t>
        </is>
      </c>
      <c r="I63" s="6" t="inlineStr">
        <is>
          <t>A</t>
        </is>
      </c>
      <c r="J63" s="6" t="inlineStr">
        <is>
          <t>Not Run</t>
        </is>
      </c>
      <c r="K63" s="6" t="n"/>
      <c r="L63" s="6" t="n"/>
      <c r="M63" s="6" t="n"/>
      <c r="N63" s="6" t="n"/>
      <c r="O63" s="6" t="n"/>
      <c r="P63" s="6" t="n"/>
    </row>
    <row r="64">
      <c r="A64" s="6" t="inlineStr">
        <is>
          <t>TC-056</t>
        </is>
      </c>
      <c r="B64" s="6" t="inlineStr">
        <is>
          <t>TS-04</t>
        </is>
      </c>
      <c r="C64" s="6" t="inlineStr">
        <is>
          <t>The capability grid renders all six capability cards in order</t>
        </is>
      </c>
      <c r="D64" s="6" t="inlineStr">
        <is>
          <t>UX</t>
        </is>
      </c>
      <c r="E64" s="6" t="inlineStr">
        <is>
          <t>High</t>
        </is>
      </c>
      <c r="F64" s="6" t="inlineStr">
        <is>
          <t>/integrations</t>
        </is>
      </c>
      <c r="G64" s="6" t="inlineStr">
        <is>
          <t>P1 Owner-Admin</t>
        </is>
      </c>
      <c r="H64" s="6" t="inlineStr">
        <is>
          <t>Yes</t>
        </is>
      </c>
      <c r="I64" s="6" t="inlineStr">
        <is>
          <t>B</t>
        </is>
      </c>
      <c r="J64" s="6" t="inlineStr">
        <is>
          <t>Not Run</t>
        </is>
      </c>
      <c r="K64" s="6" t="n"/>
      <c r="L64" s="6" t="n"/>
      <c r="M64" s="6" t="n"/>
      <c r="N64" s="6" t="n"/>
      <c r="O64" s="6" t="n"/>
      <c r="P64" s="6" t="n"/>
    </row>
    <row r="65">
      <c r="A65" s="6" t="inlineStr">
        <is>
          <t>TC-057</t>
        </is>
      </c>
      <c r="B65" s="6" t="inlineStr">
        <is>
          <t>TS-04</t>
        </is>
      </c>
      <c r="C65" s="6" t="inlineStr">
        <is>
          <t>Choosing a vendor reveals that vendor's binding and secret fields</t>
        </is>
      </c>
      <c r="D65" s="6" t="inlineStr">
        <is>
          <t>Functional</t>
        </is>
      </c>
      <c r="E65" s="6" t="inlineStr">
        <is>
          <t>High</t>
        </is>
      </c>
      <c r="F65" s="6" t="inlineStr">
        <is>
          <t>/integrations/:capability</t>
        </is>
      </c>
      <c r="G65" s="6" t="inlineStr">
        <is>
          <t>P1 Owner-Admin</t>
        </is>
      </c>
      <c r="H65" s="6" t="inlineStr">
        <is>
          <t>Yes</t>
        </is>
      </c>
      <c r="I65" s="6" t="inlineStr">
        <is>
          <t>B</t>
        </is>
      </c>
      <c r="J65" s="6" t="inlineStr">
        <is>
          <t>Not Run</t>
        </is>
      </c>
      <c r="K65" s="6" t="n"/>
      <c r="L65" s="6" t="n"/>
      <c r="M65" s="6" t="n"/>
      <c r="N65" s="6" t="n"/>
      <c r="O65" s="6" t="n"/>
      <c r="P65" s="6" t="n"/>
    </row>
    <row r="66">
      <c r="A66" s="6" t="inlineStr">
        <is>
          <t>TC-058</t>
        </is>
      </c>
      <c r="B66" s="6" t="inlineStr">
        <is>
          <t>TS-04</t>
        </is>
      </c>
      <c r="C66" s="6" t="inlineStr">
        <is>
          <t>Connect the Documentation store capability (happy path)</t>
        </is>
      </c>
      <c r="D66" s="6" t="inlineStr">
        <is>
          <t>Functional</t>
        </is>
      </c>
      <c r="E66" s="6" t="inlineStr">
        <is>
          <t>Critical</t>
        </is>
      </c>
      <c r="F66" s="6" t="inlineStr">
        <is>
          <t>/integrations/docstore</t>
        </is>
      </c>
      <c r="G66" s="6" t="inlineStr">
        <is>
          <t>P1 Owner-Admin</t>
        </is>
      </c>
      <c r="H66" s="6" t="inlineStr">
        <is>
          <t>No</t>
        </is>
      </c>
      <c r="I66" s="6" t="inlineStr">
        <is>
          <t>B</t>
        </is>
      </c>
      <c r="J66" s="6" t="inlineStr">
        <is>
          <t>Not Run</t>
        </is>
      </c>
      <c r="K66" s="6" t="n"/>
      <c r="L66" s="6" t="n"/>
      <c r="M66" s="6" t="n"/>
      <c r="N66" s="6" t="n"/>
      <c r="O66" s="6" t="n"/>
      <c r="P66" s="6" t="n"/>
    </row>
    <row r="67">
      <c r="A67" s="6" t="inlineStr">
        <is>
          <t>TC-059</t>
        </is>
      </c>
      <c r="B67" s="6" t="inlineStr">
        <is>
          <t>TS-04</t>
        </is>
      </c>
      <c r="C67" s="6" t="inlineStr">
        <is>
          <t>A stored secret is never echoed back to the browser</t>
        </is>
      </c>
      <c r="D67" s="6" t="inlineStr">
        <is>
          <t>Functional</t>
        </is>
      </c>
      <c r="E67" s="6" t="inlineStr">
        <is>
          <t>Critical</t>
        </is>
      </c>
      <c r="F67" s="6" t="inlineStr">
        <is>
          <t>/integrations/docstore</t>
        </is>
      </c>
      <c r="G67" s="6" t="inlineStr">
        <is>
          <t>P1 Owner-Admin</t>
        </is>
      </c>
      <c r="H67" s="6" t="inlineStr">
        <is>
          <t>Yes</t>
        </is>
      </c>
      <c r="I67" s="6" t="inlineStr">
        <is>
          <t>B</t>
        </is>
      </c>
      <c r="J67" s="6" t="inlineStr">
        <is>
          <t>Not Run</t>
        </is>
      </c>
      <c r="K67" s="6" t="n"/>
      <c r="L67" s="6" t="n"/>
      <c r="M67" s="6" t="n"/>
      <c r="N67" s="6" t="n"/>
      <c r="O67" s="6" t="n"/>
      <c r="P67" s="6" t="n"/>
    </row>
    <row r="68">
      <c r="A68" s="6" t="inlineStr">
        <is>
          <t>TC-060</t>
        </is>
      </c>
      <c r="B68" s="6" t="inlineStr">
        <is>
          <t>TS-04</t>
        </is>
      </c>
      <c r="C68" s="6" t="inlineStr">
        <is>
          <t>Saving without retyping the secret does not erase it</t>
        </is>
      </c>
      <c r="D68" s="6" t="inlineStr">
        <is>
          <t>Negative</t>
        </is>
      </c>
      <c r="E68" s="6" t="inlineStr">
        <is>
          <t>High</t>
        </is>
      </c>
      <c r="F68" s="6" t="inlineStr">
        <is>
          <t>/integrations/docstore</t>
        </is>
      </c>
      <c r="G68" s="6" t="inlineStr">
        <is>
          <t>P1 Owner-Admin</t>
        </is>
      </c>
      <c r="H68" s="6" t="inlineStr">
        <is>
          <t>No</t>
        </is>
      </c>
      <c r="I68" s="6" t="inlineStr">
        <is>
          <t>B</t>
        </is>
      </c>
      <c r="J68" s="6" t="inlineStr">
        <is>
          <t>Not Run</t>
        </is>
      </c>
      <c r="K68" s="6" t="n"/>
      <c r="L68" s="6" t="n"/>
      <c r="M68" s="6" t="n"/>
      <c r="N68" s="6" t="n"/>
      <c r="O68" s="6" t="n"/>
      <c r="P68" s="6" t="n"/>
    </row>
    <row r="69">
      <c r="A69" s="6" t="inlineStr">
        <is>
          <t>TC-061</t>
        </is>
      </c>
      <c r="B69" s="6" t="inlineStr">
        <is>
          <t>TS-04</t>
        </is>
      </c>
      <c r="C69" s="6" t="inlineStr">
        <is>
          <t>Test connection reports success for valid credentials</t>
        </is>
      </c>
      <c r="D69" s="6" t="inlineStr">
        <is>
          <t>Functional</t>
        </is>
      </c>
      <c r="E69" s="6" t="inlineStr">
        <is>
          <t>High</t>
        </is>
      </c>
      <c r="F69" s="6" t="inlineStr">
        <is>
          <t>/integrations/docstore</t>
        </is>
      </c>
      <c r="G69" s="6" t="inlineStr">
        <is>
          <t>P1 Owner-Admin</t>
        </is>
      </c>
      <c r="H69" s="6" t="inlineStr">
        <is>
          <t>No</t>
        </is>
      </c>
      <c r="I69" s="6" t="inlineStr">
        <is>
          <t>B</t>
        </is>
      </c>
      <c r="J69" s="6" t="inlineStr">
        <is>
          <t>Not Run</t>
        </is>
      </c>
      <c r="K69" s="6" t="n"/>
      <c r="L69" s="6" t="n"/>
      <c r="M69" s="6" t="n"/>
      <c r="N69" s="6" t="n"/>
      <c r="O69" s="6" t="n"/>
      <c r="P69" s="6" t="n"/>
    </row>
    <row r="70">
      <c r="A70" s="6" t="inlineStr">
        <is>
          <t>TC-062</t>
        </is>
      </c>
      <c r="B70" s="6" t="inlineStr">
        <is>
          <t>TS-04</t>
        </is>
      </c>
      <c r="C70" s="6" t="inlineStr">
        <is>
          <t>Test connection reports the reason and a fix hint for a bad credential</t>
        </is>
      </c>
      <c r="D70" s="6" t="inlineStr">
        <is>
          <t>Negative</t>
        </is>
      </c>
      <c r="E70" s="6" t="inlineStr">
        <is>
          <t>High</t>
        </is>
      </c>
      <c r="F70" s="6" t="inlineStr">
        <is>
          <t>/integrations/docstore</t>
        </is>
      </c>
      <c r="G70" s="6" t="inlineStr">
        <is>
          <t>P1 Owner-Admin</t>
        </is>
      </c>
      <c r="H70" s="6" t="inlineStr">
        <is>
          <t>No</t>
        </is>
      </c>
      <c r="I70" s="6" t="inlineStr">
        <is>
          <t>B</t>
        </is>
      </c>
      <c r="J70" s="6" t="inlineStr">
        <is>
          <t>Not Run</t>
        </is>
      </c>
      <c r="K70" s="6" t="n"/>
      <c r="L70" s="6" t="n"/>
      <c r="M70" s="6" t="n"/>
      <c r="N70" s="6" t="n"/>
      <c r="O70" s="6" t="n"/>
      <c r="P70" s="6" t="n"/>
    </row>
    <row r="71">
      <c r="A71" s="6" t="inlineStr">
        <is>
          <t>TC-063</t>
        </is>
      </c>
      <c r="B71" s="6" t="inlineStr">
        <is>
          <t>TS-04</t>
        </is>
      </c>
      <c r="C71" s="6" t="inlineStr">
        <is>
          <t>A failed connection turns the card badge to Failed and the link to Fix connection</t>
        </is>
      </c>
      <c r="D71" s="6" t="inlineStr">
        <is>
          <t>UX</t>
        </is>
      </c>
      <c r="E71" s="6" t="inlineStr">
        <is>
          <t>High</t>
        </is>
      </c>
      <c r="F71" s="6" t="inlineStr">
        <is>
          <t>/integrations</t>
        </is>
      </c>
      <c r="G71" s="6" t="inlineStr">
        <is>
          <t>P1 Owner-Admin</t>
        </is>
      </c>
      <c r="H71" s="6" t="inlineStr">
        <is>
          <t>No</t>
        </is>
      </c>
      <c r="I71" s="6" t="inlineStr">
        <is>
          <t>B</t>
        </is>
      </c>
      <c r="J71" s="6" t="inlineStr">
        <is>
          <t>Not Run</t>
        </is>
      </c>
      <c r="K71" s="6" t="n"/>
      <c r="L71" s="6" t="n"/>
      <c r="M71" s="6" t="n"/>
      <c r="N71" s="6" t="n"/>
      <c r="O71" s="6" t="n"/>
      <c r="P71" s="6" t="n"/>
    </row>
    <row r="72">
      <c r="A72" s="6" t="inlineStr">
        <is>
          <t>TC-064</t>
        </is>
      </c>
      <c r="B72" s="6" t="inlineStr">
        <is>
          <t>TS-04</t>
        </is>
      </c>
      <c r="C72" s="6" t="inlineStr">
        <is>
          <t>Code intelligence is built in, connected, and needs no credential</t>
        </is>
      </c>
      <c r="D72" s="6" t="inlineStr">
        <is>
          <t>Functional</t>
        </is>
      </c>
      <c r="E72" s="6" t="inlineStr">
        <is>
          <t>Medium</t>
        </is>
      </c>
      <c r="F72" s="6" t="inlineStr">
        <is>
          <t>/integrations/codeintel</t>
        </is>
      </c>
      <c r="G72" s="6" t="inlineStr">
        <is>
          <t>P1 Owner-Admin</t>
        </is>
      </c>
      <c r="H72" s="6" t="inlineStr">
        <is>
          <t>Yes</t>
        </is>
      </c>
      <c r="I72" s="6" t="inlineStr">
        <is>
          <t>B</t>
        </is>
      </c>
      <c r="J72" s="6" t="inlineStr">
        <is>
          <t>Not Run</t>
        </is>
      </c>
      <c r="K72" s="6" t="n"/>
      <c r="L72" s="6" t="n"/>
      <c r="M72" s="6" t="n"/>
      <c r="N72" s="6" t="n"/>
      <c r="O72" s="6" t="n"/>
      <c r="P72" s="6" t="n"/>
    </row>
    <row r="73">
      <c r="A73" s="6" t="inlineStr">
        <is>
          <t>TC-065</t>
        </is>
      </c>
      <c r="B73" s="6" t="inlineStr">
        <is>
          <t>TS-04</t>
        </is>
      </c>
      <c r="C73" s="6" t="inlineStr">
        <is>
          <t>A vendor with no live check reports OK even for junk credentials</t>
        </is>
      </c>
      <c r="D73" s="6" t="inlineStr">
        <is>
          <t>Negative</t>
        </is>
      </c>
      <c r="E73" s="6" t="inlineStr">
        <is>
          <t>Medium</t>
        </is>
      </c>
      <c r="F73" s="6" t="inlineStr">
        <is>
          <t>/integrations/testmgmt</t>
        </is>
      </c>
      <c r="G73" s="6" t="inlineStr">
        <is>
          <t>P1 Owner-Admin</t>
        </is>
      </c>
      <c r="H73" s="6" t="inlineStr">
        <is>
          <t>No</t>
        </is>
      </c>
      <c r="I73" s="6" t="inlineStr">
        <is>
          <t>B</t>
        </is>
      </c>
      <c r="J73" s="6" t="inlineStr">
        <is>
          <t>Not Run</t>
        </is>
      </c>
      <c r="K73" s="6" t="n"/>
      <c r="L73" s="6" t="n"/>
      <c r="M73" s="6" t="n"/>
      <c r="N73" s="6" t="n"/>
      <c r="O73" s="6" t="n"/>
      <c r="P73" s="6" t="n"/>
    </row>
    <row r="74">
      <c r="A74" s="6" t="inlineStr">
        <is>
          <t>TC-066</t>
        </is>
      </c>
      <c r="B74" s="6" t="inlineStr">
        <is>
          <t>TS-04</t>
        </is>
      </c>
      <c r="C74" s="6" t="inlineStr">
        <is>
          <t>Re-saving an already-connected capability updates it in place, never duplicating it</t>
        </is>
      </c>
      <c r="D74" s="6" t="inlineStr">
        <is>
          <t>Negative</t>
        </is>
      </c>
      <c r="E74" s="6" t="inlineStr">
        <is>
          <t>High</t>
        </is>
      </c>
      <c r="F74" s="6" t="inlineStr">
        <is>
          <t>/integrations/docstore</t>
        </is>
      </c>
      <c r="G74" s="6" t="inlineStr">
        <is>
          <t>P1 Owner-Admin</t>
        </is>
      </c>
      <c r="H74" s="6" t="inlineStr">
        <is>
          <t>No</t>
        </is>
      </c>
      <c r="I74" s="6" t="inlineStr">
        <is>
          <t>B</t>
        </is>
      </c>
      <c r="J74" s="6" t="inlineStr">
        <is>
          <t>Not Run</t>
        </is>
      </c>
      <c r="K74" s="6" t="n"/>
      <c r="L74" s="6" t="n"/>
      <c r="M74" s="6" t="n"/>
      <c r="N74" s="6" t="n"/>
      <c r="O74" s="6" t="n"/>
      <c r="P74" s="6" t="n"/>
    </row>
    <row r="75">
      <c r="A75" s="6" t="inlineStr">
        <is>
          <t>TC-067</t>
        </is>
      </c>
      <c r="B75" s="6" t="inlineStr">
        <is>
          <t>TS-04</t>
        </is>
      </c>
      <c r="C75" s="6" t="inlineStr">
        <is>
          <t>A non-admin cannot use Integrations</t>
        </is>
      </c>
      <c r="D75" s="6" t="inlineStr">
        <is>
          <t>Permission</t>
        </is>
      </c>
      <c r="E75" s="6" t="inlineStr">
        <is>
          <t>High</t>
        </is>
      </c>
      <c r="F75" s="6" t="inlineStr">
        <is>
          <t>/integrations, /integrations/docstore</t>
        </is>
      </c>
      <c r="G75" s="6" t="inlineStr">
        <is>
          <t>P10 Engineer</t>
        </is>
      </c>
      <c r="H75" s="6" t="inlineStr">
        <is>
          <t>No</t>
        </is>
      </c>
      <c r="I75" s="6" t="inlineStr">
        <is>
          <t>B</t>
        </is>
      </c>
      <c r="J75" s="6" t="inlineStr">
        <is>
          <t>Not Run</t>
        </is>
      </c>
      <c r="K75" s="6" t="n"/>
      <c r="L75" s="6" t="n"/>
      <c r="M75" s="6" t="n"/>
      <c r="N75" s="6" t="n"/>
      <c r="O75" s="6" t="n"/>
      <c r="P75" s="6" t="n"/>
    </row>
    <row r="76">
      <c r="A76" s="6" t="inlineStr">
        <is>
          <t>TC-068</t>
        </is>
      </c>
      <c r="B76" s="6" t="inlineStr">
        <is>
          <t>TS-04</t>
        </is>
      </c>
      <c r="C76" s="6" t="inlineStr">
        <is>
          <t>The Couldn’t save banner uses a curly apostrophe where the rest of the app uses a straight one</t>
        </is>
      </c>
      <c r="D76" s="6" t="inlineStr">
        <is>
          <t>UX</t>
        </is>
      </c>
      <c r="E76" s="6" t="inlineStr">
        <is>
          <t>Low</t>
        </is>
      </c>
      <c r="F76" s="6" t="inlineStr">
        <is>
          <t>/integrations/:capability</t>
        </is>
      </c>
      <c r="G76" s="6" t="inlineStr">
        <is>
          <t>P1 Owner-Admin</t>
        </is>
      </c>
      <c r="H76" s="6" t="inlineStr">
        <is>
          <t>No</t>
        </is>
      </c>
      <c r="I76" s="6" t="inlineStr">
        <is>
          <t>B</t>
        </is>
      </c>
      <c r="J76" s="6" t="inlineStr">
        <is>
          <t>Not Run</t>
        </is>
      </c>
      <c r="K76" s="6" t="n"/>
      <c r="L76" s="6" t="n"/>
      <c r="M76" s="6" t="n"/>
      <c r="N76" s="6" t="n"/>
      <c r="O76" s="6" t="n"/>
      <c r="P76" s="6" t="n"/>
    </row>
    <row r="77">
      <c r="A77" s="6" t="inlineStr">
        <is>
          <t>TC-069</t>
        </is>
      </c>
      <c r="B77" s="6" t="inlineStr">
        <is>
          <t>TS-05</t>
        </is>
      </c>
      <c r="C77" s="6" t="inlineStr">
        <is>
          <t>The not-started state shows Step A and a greyed-out Step B</t>
        </is>
      </c>
      <c r="D77" s="6" t="inlineStr">
        <is>
          <t>UX</t>
        </is>
      </c>
      <c r="E77" s="6" t="inlineStr">
        <is>
          <t>High</t>
        </is>
      </c>
      <c r="F77" s="6" t="inlineStr">
        <is>
          <t>/connect</t>
        </is>
      </c>
      <c r="G77" s="6" t="inlineStr">
        <is>
          <t>P1 Owner-Admin</t>
        </is>
      </c>
      <c r="H77" s="6" t="inlineStr">
        <is>
          <t>Yes</t>
        </is>
      </c>
      <c r="I77" s="6" t="inlineStr">
        <is>
          <t>C</t>
        </is>
      </c>
      <c r="J77" s="6" t="inlineStr">
        <is>
          <t>Not Run</t>
        </is>
      </c>
      <c r="K77" s="6" t="n"/>
      <c r="L77" s="6" t="n"/>
      <c r="M77" s="6" t="n"/>
      <c r="N77" s="6" t="n"/>
      <c r="O77" s="6" t="n"/>
      <c r="P77" s="6" t="n"/>
    </row>
    <row r="78">
      <c r="A78" s="6" t="inlineStr">
        <is>
          <t>TC-070</t>
        </is>
      </c>
      <c r="B78" s="6" t="inlineStr">
        <is>
          <t>TS-05</t>
        </is>
      </c>
      <c r="C78" s="6" t="inlineStr">
        <is>
          <t>Generating an enrollment token shows it exactly once</t>
        </is>
      </c>
      <c r="D78" s="6" t="inlineStr">
        <is>
          <t>Functional</t>
        </is>
      </c>
      <c r="E78" s="6" t="inlineStr">
        <is>
          <t>Critical</t>
        </is>
      </c>
      <c r="F78" s="6" t="inlineStr">
        <is>
          <t>/connect</t>
        </is>
      </c>
      <c r="G78" s="6" t="inlineStr">
        <is>
          <t>P1 Owner-Admin</t>
        </is>
      </c>
      <c r="H78" s="6" t="inlineStr">
        <is>
          <t>No</t>
        </is>
      </c>
      <c r="I78" s="6" t="inlineStr">
        <is>
          <t>C</t>
        </is>
      </c>
      <c r="J78" s="6" t="inlineStr">
        <is>
          <t>Not Run</t>
        </is>
      </c>
      <c r="K78" s="6" t="n"/>
      <c r="L78" s="6" t="n"/>
      <c r="M78" s="6" t="n"/>
      <c r="N78" s="6" t="n"/>
      <c r="O78" s="6" t="n"/>
      <c r="P78" s="6" t="n"/>
    </row>
    <row r="79">
      <c r="A79" s="6" t="inlineStr">
        <is>
          <t>TC-071</t>
        </is>
      </c>
      <c r="B79" s="6" t="inlineStr">
        <is>
          <t>TS-05</t>
        </is>
      </c>
      <c r="C79" s="6" t="inlineStr">
        <is>
          <t>Step B reveals the two real commands to run</t>
        </is>
      </c>
      <c r="D79" s="6" t="inlineStr">
        <is>
          <t>Functional</t>
        </is>
      </c>
      <c r="E79" s="6" t="inlineStr">
        <is>
          <t>High</t>
        </is>
      </c>
      <c r="F79" s="6" t="inlineStr">
        <is>
          <t>/connect</t>
        </is>
      </c>
      <c r="G79" s="6" t="inlineStr">
        <is>
          <t>P1 Owner-Admin</t>
        </is>
      </c>
      <c r="H79" s="6" t="inlineStr">
        <is>
          <t>No</t>
        </is>
      </c>
      <c r="I79" s="6" t="inlineStr">
        <is>
          <t>C</t>
        </is>
      </c>
      <c r="J79" s="6" t="inlineStr">
        <is>
          <t>Not Run</t>
        </is>
      </c>
      <c r="K79" s="6" t="n"/>
      <c r="L79" s="6" t="n"/>
      <c r="M79" s="6" t="n"/>
      <c r="N79" s="6" t="n"/>
      <c r="O79" s="6" t="n"/>
      <c r="P79" s="6" t="n"/>
    </row>
    <row r="80">
      <c r="A80" s="6" t="inlineStr">
        <is>
          <t>TC-072</t>
        </is>
      </c>
      <c r="B80" s="6" t="inlineStr">
        <is>
          <t>TS-05</t>
        </is>
      </c>
      <c r="C80" s="6" t="inlineStr">
        <is>
          <t>The companion connects and the screen flips to Connected</t>
        </is>
      </c>
      <c r="D80" s="6" t="inlineStr">
        <is>
          <t>E2E</t>
        </is>
      </c>
      <c r="E80" s="6" t="inlineStr">
        <is>
          <t>Critical</t>
        </is>
      </c>
      <c r="F80" s="6" t="inlineStr">
        <is>
          <t>/connect</t>
        </is>
      </c>
      <c r="G80" s="6" t="inlineStr">
        <is>
          <t>P1 Owner-Admin</t>
        </is>
      </c>
      <c r="H80" s="6" t="inlineStr">
        <is>
          <t>No</t>
        </is>
      </c>
      <c r="I80" s="6" t="inlineStr">
        <is>
          <t>C</t>
        </is>
      </c>
      <c r="J80" s="6" t="inlineStr">
        <is>
          <t>Not Run</t>
        </is>
      </c>
      <c r="K80" s="6" t="n"/>
      <c r="L80" s="6" t="n"/>
      <c r="M80" s="6" t="n"/>
      <c r="N80" s="6" t="n"/>
      <c r="O80" s="6" t="n"/>
      <c r="P80" s="6" t="n"/>
    </row>
    <row r="81">
      <c r="A81" s="6" t="inlineStr">
        <is>
          <t>TC-073</t>
        </is>
      </c>
      <c r="B81" s="6" t="inlineStr">
        <is>
          <t>TS-05</t>
        </is>
      </c>
      <c r="C81" s="6" t="inlineStr">
        <is>
          <t>Both companion pills read Companion: Ready</t>
        </is>
      </c>
      <c r="D81" s="6" t="inlineStr">
        <is>
          <t>UX</t>
        </is>
      </c>
      <c r="E81" s="6" t="inlineStr">
        <is>
          <t>High</t>
        </is>
      </c>
      <c r="F81" s="6" t="inlineStr">
        <is>
          <t>Any screen (app shell)</t>
        </is>
      </c>
      <c r="G81" s="6" t="inlineStr">
        <is>
          <t>P1 Owner-Admin</t>
        </is>
      </c>
      <c r="H81" s="6" t="inlineStr">
        <is>
          <t>Yes</t>
        </is>
      </c>
      <c r="I81" s="6" t="inlineStr">
        <is>
          <t>C</t>
        </is>
      </c>
      <c r="J81" s="6" t="inlineStr">
        <is>
          <t>Not Run</t>
        </is>
      </c>
      <c r="K81" s="6" t="n"/>
      <c r="L81" s="6" t="n"/>
      <c r="M81" s="6" t="n"/>
      <c r="N81" s="6" t="n"/>
      <c r="O81" s="6" t="n"/>
      <c r="P81" s="6" t="n"/>
    </row>
    <row r="82">
      <c r="A82" s="6" t="inlineStr">
        <is>
          <t>TC-074</t>
        </is>
      </c>
      <c r="B82" s="6" t="inlineStr">
        <is>
          <t>TS-05</t>
        </is>
      </c>
      <c r="C82" s="6" t="inlineStr">
        <is>
          <t>Stopping the companion turns the pills to Companion: Offline after the 2-minute window</t>
        </is>
      </c>
      <c r="D82" s="6" t="inlineStr">
        <is>
          <t>Functional</t>
        </is>
      </c>
      <c r="E82" s="6" t="inlineStr">
        <is>
          <t>High</t>
        </is>
      </c>
      <c r="F82" s="6" t="inlineStr">
        <is>
          <t>Any screen (app shell)</t>
        </is>
      </c>
      <c r="G82" s="6" t="inlineStr">
        <is>
          <t>P1 Owner-Admin</t>
        </is>
      </c>
      <c r="H82" s="6" t="inlineStr">
        <is>
          <t>No</t>
        </is>
      </c>
      <c r="I82" s="6" t="inlineStr">
        <is>
          <t>C</t>
        </is>
      </c>
      <c r="J82" s="6" t="inlineStr">
        <is>
          <t>Not Run</t>
        </is>
      </c>
      <c r="K82" s="6" t="n"/>
      <c r="L82" s="6" t="n"/>
      <c r="M82" s="6" t="n"/>
      <c r="N82" s="6" t="n"/>
      <c r="O82" s="6" t="n"/>
      <c r="P82" s="6" t="n"/>
    </row>
    <row r="83">
      <c r="A83" s="6" t="inlineStr">
        <is>
          <t>TC-075</t>
        </is>
      </c>
      <c r="B83" s="6" t="inlineStr">
        <is>
          <t>TS-05</t>
        </is>
      </c>
      <c r="C83" s="6" t="inlineStr">
        <is>
          <t>The offline state on /connect explains how to restart and offers a new token</t>
        </is>
      </c>
      <c r="D83" s="6" t="inlineStr">
        <is>
          <t>UX</t>
        </is>
      </c>
      <c r="E83" s="6" t="inlineStr">
        <is>
          <t>Medium</t>
        </is>
      </c>
      <c r="F83" s="6" t="inlineStr">
        <is>
          <t>/connect</t>
        </is>
      </c>
      <c r="G83" s="6" t="inlineStr">
        <is>
          <t>P1 Owner-Admin</t>
        </is>
      </c>
      <c r="H83" s="6" t="inlineStr">
        <is>
          <t>No</t>
        </is>
      </c>
      <c r="I83" s="6" t="inlineStr">
        <is>
          <t>C</t>
        </is>
      </c>
      <c r="J83" s="6" t="inlineStr">
        <is>
          <t>Not Run</t>
        </is>
      </c>
      <c r="K83" s="6" t="n"/>
      <c r="L83" s="6" t="n"/>
      <c r="M83" s="6" t="n"/>
      <c r="N83" s="6" t="n"/>
      <c r="O83" s="6" t="n"/>
      <c r="P83" s="6" t="n"/>
    </row>
    <row r="84">
      <c r="A84" s="6" t="inlineStr">
        <is>
          <t>TC-076</t>
        </is>
      </c>
      <c r="B84" s="6" t="inlineStr">
        <is>
          <t>TS-05</t>
        </is>
      </c>
      <c r="C84" s="6" t="inlineStr">
        <is>
          <t>Generate new token on the offline screen issues a working token</t>
        </is>
      </c>
      <c r="D84" s="6" t="inlineStr">
        <is>
          <t>Functional</t>
        </is>
      </c>
      <c r="E84" s="6" t="inlineStr">
        <is>
          <t>Medium</t>
        </is>
      </c>
      <c r="F84" s="6" t="inlineStr">
        <is>
          <t>/connect</t>
        </is>
      </c>
      <c r="G84" s="6" t="inlineStr">
        <is>
          <t>P1 Owner-Admin</t>
        </is>
      </c>
      <c r="H84" s="6" t="inlineStr">
        <is>
          <t>No</t>
        </is>
      </c>
      <c r="I84" s="6" t="inlineStr">
        <is>
          <t>C</t>
        </is>
      </c>
      <c r="J84" s="6" t="inlineStr">
        <is>
          <t>Not Run</t>
        </is>
      </c>
      <c r="K84" s="6" t="n"/>
      <c r="L84" s="6" t="n"/>
      <c r="M84" s="6" t="n"/>
      <c r="N84" s="6" t="n"/>
      <c r="O84" s="6" t="n"/>
      <c r="P84" s="6" t="n"/>
    </row>
    <row r="85">
      <c r="A85" s="6" t="inlineStr">
        <is>
          <t>TC-077</t>
        </is>
      </c>
      <c r="B85" s="6" t="inlineStr">
        <is>
          <t>TS-05</t>
        </is>
      </c>
      <c r="C85" s="6" t="inlineStr">
        <is>
          <t>A failed token request silently shows a fake token and a success screen</t>
        </is>
      </c>
      <c r="D85" s="6" t="inlineStr">
        <is>
          <t>Negative</t>
        </is>
      </c>
      <c r="E85" s="6" t="inlineStr">
        <is>
          <t>Critical</t>
        </is>
      </c>
      <c r="F85" s="6" t="inlineStr">
        <is>
          <t>/connect</t>
        </is>
      </c>
      <c r="G85" s="6" t="inlineStr">
        <is>
          <t>P1 Owner-Admin</t>
        </is>
      </c>
      <c r="H85" s="6" t="inlineStr">
        <is>
          <t>No</t>
        </is>
      </c>
      <c r="I85" s="6" t="inlineStr">
        <is>
          <t>C</t>
        </is>
      </c>
      <c r="J85" s="6" t="inlineStr">
        <is>
          <t>Not Run</t>
        </is>
      </c>
      <c r="K85" s="6" t="n"/>
      <c r="L85" s="6" t="n"/>
      <c r="M85" s="6" t="n"/>
      <c r="N85" s="6" t="n"/>
      <c r="O85" s="6" t="n"/>
      <c r="P85" s="6" t="n"/>
    </row>
    <row r="86">
      <c r="A86" s="6" t="inlineStr">
        <is>
          <t>TC-078</t>
        </is>
      </c>
      <c r="B86" s="6" t="inlineStr">
        <is>
          <t>TS-05</t>
        </is>
      </c>
      <c r="C86" s="6" t="inlineStr">
        <is>
          <t>Disconnect machine stops the running companion's token from authenticating</t>
        </is>
      </c>
      <c r="D86" s="6" t="inlineStr">
        <is>
          <t>Functional</t>
        </is>
      </c>
      <c r="E86" s="6" t="inlineStr">
        <is>
          <t>High</t>
        </is>
      </c>
      <c r="F86" s="6" t="inlineStr">
        <is>
          <t>/connect</t>
        </is>
      </c>
      <c r="G86" s="6" t="inlineStr">
        <is>
          <t>P1 Owner-Admin</t>
        </is>
      </c>
      <c r="H86" s="6" t="inlineStr">
        <is>
          <t>No</t>
        </is>
      </c>
      <c r="I86" s="6" t="inlineStr">
        <is>
          <t>C</t>
        </is>
      </c>
      <c r="J86" s="6" t="inlineStr">
        <is>
          <t>Not Run</t>
        </is>
      </c>
      <c r="K86" s="6" t="n"/>
      <c r="L86" s="6" t="n"/>
      <c r="M86" s="6" t="n"/>
      <c r="N86" s="6" t="n"/>
      <c r="O86" s="6" t="n"/>
      <c r="P86" s="6" t="n"/>
    </row>
    <row r="87">
      <c r="A87" s="6" t="inlineStr">
        <is>
          <t>TC-581</t>
        </is>
      </c>
      <c r="B87" s="6" t="inlineStr">
        <is>
          <t>TS-05</t>
        </is>
      </c>
      <c r="C87" s="6" t="inlineStr">
        <is>
          <t>The Projects multi-select on the enrollment screen has no effect on the token issued</t>
        </is>
      </c>
      <c r="D87" s="6" t="inlineStr">
        <is>
          <t>UX</t>
        </is>
      </c>
      <c r="E87" s="6" t="inlineStr">
        <is>
          <t>Medium</t>
        </is>
      </c>
      <c r="F87" s="6" t="inlineStr">
        <is>
          <t>/connect</t>
        </is>
      </c>
      <c r="G87" s="6" t="inlineStr">
        <is>
          <t>P1 Owner-Admin</t>
        </is>
      </c>
      <c r="H87" s="6" t="inlineStr">
        <is>
          <t>No</t>
        </is>
      </c>
      <c r="I87" s="6" t="inlineStr">
        <is>
          <t>C</t>
        </is>
      </c>
      <c r="J87" s="6" t="inlineStr">
        <is>
          <t>Not Run</t>
        </is>
      </c>
      <c r="K87" s="6" t="n"/>
      <c r="L87" s="6" t="n"/>
      <c r="M87" s="6" t="n"/>
      <c r="N87" s="6" t="n"/>
      <c r="O87" s="6" t="n"/>
      <c r="P87" s="6" t="n"/>
    </row>
    <row r="88">
      <c r="A88" s="6" t="inlineStr">
        <is>
          <t>TC-582</t>
        </is>
      </c>
      <c r="B88" s="6" t="inlineStr">
        <is>
          <t>TS-05</t>
        </is>
      </c>
      <c r="C88" s="6" t="inlineStr">
        <is>
          <t>A non-admin engineer can enrol a companion machine</t>
        </is>
      </c>
      <c r="D88" s="6" t="inlineStr">
        <is>
          <t>Permission</t>
        </is>
      </c>
      <c r="E88" s="6" t="inlineStr">
        <is>
          <t>High</t>
        </is>
      </c>
      <c r="F88" s="6" t="inlineStr">
        <is>
          <t>/connect</t>
        </is>
      </c>
      <c r="G88" s="6" t="inlineStr">
        <is>
          <t>P10 Engineer</t>
        </is>
      </c>
      <c r="H88" s="6" t="inlineStr">
        <is>
          <t>No</t>
        </is>
      </c>
      <c r="I88" s="6" t="inlineStr">
        <is>
          <t>C</t>
        </is>
      </c>
      <c r="J88" s="6" t="inlineStr">
        <is>
          <t>Not Run</t>
        </is>
      </c>
      <c r="K88" s="6" t="n"/>
      <c r="L88" s="6" t="n"/>
      <c r="M88" s="6" t="n"/>
      <c r="N88" s="6" t="n"/>
      <c r="O88" s="6" t="n"/>
      <c r="P88" s="6" t="n"/>
    </row>
    <row r="89">
      <c r="A89" s="6" t="inlineStr">
        <is>
          <t>TC-079</t>
        </is>
      </c>
      <c r="B89" s="6" t="inlineStr">
        <is>
          <t>TS-06</t>
        </is>
      </c>
      <c r="C89" s="6" t="inlineStr">
        <is>
          <t>A project with no work items shows the empty state</t>
        </is>
      </c>
      <c r="D89" s="6" t="inlineStr">
        <is>
          <t>UX</t>
        </is>
      </c>
      <c r="E89" s="6" t="inlineStr">
        <is>
          <t>Medium</t>
        </is>
      </c>
      <c r="F89" s="6" t="inlineStr">
        <is>
          <t>/work-items</t>
        </is>
      </c>
      <c r="G89" s="6" t="inlineStr">
        <is>
          <t>P1 Owner-Admin</t>
        </is>
      </c>
      <c r="H89" s="6" t="inlineStr">
        <is>
          <t>Yes</t>
        </is>
      </c>
      <c r="I89" s="6" t="inlineStr">
        <is>
          <t>B</t>
        </is>
      </c>
      <c r="J89" s="6" t="inlineStr">
        <is>
          <t>Not Run</t>
        </is>
      </c>
      <c r="K89" s="6" t="n"/>
      <c r="L89" s="6" t="n"/>
      <c r="M89" s="6" t="n"/>
      <c r="N89" s="6" t="n"/>
      <c r="O89" s="6" t="n"/>
      <c r="P89" s="6" t="n"/>
    </row>
    <row r="90">
      <c r="A90" s="6" t="inlineStr">
        <is>
          <t>TC-080</t>
        </is>
      </c>
      <c r="B90" s="6" t="inlineStr">
        <is>
          <t>TS-06</t>
        </is>
      </c>
      <c r="C90" s="6" t="inlineStr">
        <is>
          <t>Create an epic from the drawer (happy path)</t>
        </is>
      </c>
      <c r="D90" s="6" t="inlineStr">
        <is>
          <t>Functional</t>
        </is>
      </c>
      <c r="E90" s="6" t="inlineStr">
        <is>
          <t>Critical</t>
        </is>
      </c>
      <c r="F90" s="6" t="inlineStr">
        <is>
          <t>/work-items</t>
        </is>
      </c>
      <c r="G90" s="6" t="inlineStr">
        <is>
          <t>P1 Owner-Admin</t>
        </is>
      </c>
      <c r="H90" s="6" t="inlineStr">
        <is>
          <t>No</t>
        </is>
      </c>
      <c r="I90" s="6" t="inlineStr">
        <is>
          <t>B</t>
        </is>
      </c>
      <c r="J90" s="6" t="inlineStr">
        <is>
          <t>Not Run</t>
        </is>
      </c>
      <c r="K90" s="6" t="n"/>
      <c r="L90" s="6" t="n"/>
      <c r="M90" s="6" t="n"/>
      <c r="N90" s="6" t="n"/>
      <c r="O90" s="6" t="n"/>
      <c r="P90" s="6" t="n"/>
    </row>
    <row r="91">
      <c r="A91" s="6" t="inlineStr">
        <is>
          <t>TC-081</t>
        </is>
      </c>
      <c r="B91" s="6" t="inlineStr">
        <is>
          <t>TS-06</t>
        </is>
      </c>
      <c r="C91" s="6" t="inlineStr">
        <is>
          <t>The create drawer will not submit without a title</t>
        </is>
      </c>
      <c r="D91" s="6" t="inlineStr">
        <is>
          <t>Negative</t>
        </is>
      </c>
      <c r="E91" s="6" t="inlineStr">
        <is>
          <t>High</t>
        </is>
      </c>
      <c r="F91" s="6" t="inlineStr">
        <is>
          <t>/work-items</t>
        </is>
      </c>
      <c r="G91" s="6" t="inlineStr">
        <is>
          <t>P1 Owner-Admin</t>
        </is>
      </c>
      <c r="H91" s="6" t="inlineStr">
        <is>
          <t>Yes</t>
        </is>
      </c>
      <c r="I91" s="6" t="inlineStr">
        <is>
          <t>B</t>
        </is>
      </c>
      <c r="J91" s="6" t="inlineStr">
        <is>
          <t>Not Run</t>
        </is>
      </c>
      <c r="K91" s="6" t="n"/>
      <c r="L91" s="6" t="n"/>
      <c r="M91" s="6" t="n"/>
      <c r="N91" s="6" t="n"/>
      <c r="O91" s="6" t="n"/>
      <c r="P91" s="6" t="n"/>
    </row>
    <row r="92">
      <c r="A92" s="6" t="inlineStr">
        <is>
          <t>TC-082</t>
        </is>
      </c>
      <c r="B92" s="6" t="inlineStr">
        <is>
          <t>TS-06</t>
        </is>
      </c>
      <c r="C92" s="6" t="inlineStr">
        <is>
          <t>The board renders the full lifecycle as columns, in order</t>
        </is>
      </c>
      <c r="D92" s="6" t="inlineStr">
        <is>
          <t>Functional</t>
        </is>
      </c>
      <c r="E92" s="6" t="inlineStr">
        <is>
          <t>High</t>
        </is>
      </c>
      <c r="F92" s="6" t="inlineStr">
        <is>
          <t>/work-items</t>
        </is>
      </c>
      <c r="G92" s="6" t="inlineStr">
        <is>
          <t>P1 Owner-Admin</t>
        </is>
      </c>
      <c r="H92" s="6" t="inlineStr">
        <is>
          <t>Yes</t>
        </is>
      </c>
      <c r="I92" s="6" t="inlineStr">
        <is>
          <t>B</t>
        </is>
      </c>
      <c r="J92" s="6" t="inlineStr">
        <is>
          <t>Not Run</t>
        </is>
      </c>
      <c r="K92" s="6" t="n"/>
      <c r="L92" s="6" t="n"/>
      <c r="M92" s="6" t="n"/>
      <c r="N92" s="6" t="n"/>
      <c r="O92" s="6" t="n"/>
      <c r="P92" s="6" t="n"/>
    </row>
    <row r="93">
      <c r="A93" s="6" t="inlineStr">
        <is>
          <t>TC-083</t>
        </is>
      </c>
      <c r="B93" s="6" t="inlineStr">
        <is>
          <t>TS-06</t>
        </is>
      </c>
      <c r="C93" s="6" t="inlineStr">
        <is>
          <t>A newly created work item lands in the first column as a draft</t>
        </is>
      </c>
      <c r="D93" s="6" t="inlineStr">
        <is>
          <t>Functional</t>
        </is>
      </c>
      <c r="E93" s="6" t="inlineStr">
        <is>
          <t>High</t>
        </is>
      </c>
      <c r="F93" s="6" t="inlineStr">
        <is>
          <t>/work-items</t>
        </is>
      </c>
      <c r="G93" s="6" t="inlineStr">
        <is>
          <t>P1 Owner-Admin</t>
        </is>
      </c>
      <c r="H93" s="6" t="inlineStr">
        <is>
          <t>Yes</t>
        </is>
      </c>
      <c r="I93" s="6" t="inlineStr">
        <is>
          <t>B</t>
        </is>
      </c>
      <c r="J93" s="6" t="inlineStr">
        <is>
          <t>Not Run</t>
        </is>
      </c>
      <c r="K93" s="6" t="n"/>
      <c r="L93" s="6" t="n"/>
      <c r="M93" s="6" t="n"/>
      <c r="N93" s="6" t="n"/>
      <c r="O93" s="6" t="n"/>
      <c r="P93" s="6" t="n"/>
    </row>
    <row r="94">
      <c r="A94" s="6" t="inlineStr">
        <is>
          <t>TC-084</t>
        </is>
      </c>
      <c r="B94" s="6" t="inlineStr">
        <is>
          <t>TS-06</t>
        </is>
      </c>
      <c r="C94" s="6" t="inlineStr">
        <is>
          <t>The Board/List toggle switches views and the list shows the right columns</t>
        </is>
      </c>
      <c r="D94" s="6" t="inlineStr">
        <is>
          <t>Functional</t>
        </is>
      </c>
      <c r="E94" s="6" t="inlineStr">
        <is>
          <t>Medium</t>
        </is>
      </c>
      <c r="F94" s="6" t="inlineStr">
        <is>
          <t>/work-items</t>
        </is>
      </c>
      <c r="G94" s="6" t="inlineStr">
        <is>
          <t>P1 Owner-Admin</t>
        </is>
      </c>
      <c r="H94" s="6" t="inlineStr">
        <is>
          <t>Yes</t>
        </is>
      </c>
      <c r="I94" s="6" t="inlineStr">
        <is>
          <t>B</t>
        </is>
      </c>
      <c r="J94" s="6" t="inlineStr">
        <is>
          <t>Not Run</t>
        </is>
      </c>
      <c r="K94" s="6" t="n"/>
      <c r="L94" s="6" t="n"/>
      <c r="M94" s="6" t="n"/>
      <c r="N94" s="6" t="n"/>
      <c r="O94" s="6" t="n"/>
      <c r="P94" s="6" t="n"/>
    </row>
    <row r="95">
      <c r="A95" s="6" t="inlineStr">
        <is>
          <t>TC-085</t>
        </is>
      </c>
      <c r="B95" s="6" t="inlineStr">
        <is>
          <t>TS-06</t>
        </is>
      </c>
      <c r="C95" s="6" t="inlineStr">
        <is>
          <t>The search box filters the board</t>
        </is>
      </c>
      <c r="D95" s="6" t="inlineStr">
        <is>
          <t>Functional</t>
        </is>
      </c>
      <c r="E95" s="6" t="inlineStr">
        <is>
          <t>Medium</t>
        </is>
      </c>
      <c r="F95" s="6" t="inlineStr">
        <is>
          <t>/work-items</t>
        </is>
      </c>
      <c r="G95" s="6" t="inlineStr">
        <is>
          <t>P1 Owner-Admin</t>
        </is>
      </c>
      <c r="H95" s="6" t="inlineStr">
        <is>
          <t>Yes</t>
        </is>
      </c>
      <c r="I95" s="6" t="inlineStr">
        <is>
          <t>B</t>
        </is>
      </c>
      <c r="J95" s="6" t="inlineStr">
        <is>
          <t>Not Run</t>
        </is>
      </c>
      <c r="K95" s="6" t="n"/>
      <c r="L95" s="6" t="n"/>
      <c r="M95" s="6" t="n"/>
      <c r="N95" s="6" t="n"/>
      <c r="O95" s="6" t="n"/>
      <c r="P95" s="6" t="n"/>
    </row>
    <row r="96">
      <c r="A96" s="6" t="inlineStr">
        <is>
          <t>TC-086</t>
        </is>
      </c>
      <c r="B96" s="6" t="inlineStr">
        <is>
          <t>TS-06</t>
        </is>
      </c>
      <c r="C96" s="6" t="inlineStr">
        <is>
          <t>The Phase filter offers only phases items are actually in</t>
        </is>
      </c>
      <c r="D96" s="6" t="inlineStr">
        <is>
          <t>Functional</t>
        </is>
      </c>
      <c r="E96" s="6" t="inlineStr">
        <is>
          <t>Medium</t>
        </is>
      </c>
      <c r="F96" s="6" t="inlineStr">
        <is>
          <t>/work-items</t>
        </is>
      </c>
      <c r="G96" s="6" t="inlineStr">
        <is>
          <t>P1 Owner-Admin</t>
        </is>
      </c>
      <c r="H96" s="6" t="inlineStr">
        <is>
          <t>Yes</t>
        </is>
      </c>
      <c r="I96" s="6" t="inlineStr">
        <is>
          <t>B</t>
        </is>
      </c>
      <c r="J96" s="6" t="inlineStr">
        <is>
          <t>Not Run</t>
        </is>
      </c>
      <c r="K96" s="6" t="n"/>
      <c r="L96" s="6" t="n"/>
      <c r="M96" s="6" t="n"/>
      <c r="N96" s="6" t="n"/>
      <c r="O96" s="6" t="n"/>
      <c r="P96" s="6" t="n"/>
    </row>
    <row r="97">
      <c r="A97" s="6" t="inlineStr">
        <is>
          <t>TC-087</t>
        </is>
      </c>
      <c r="B97" s="6" t="inlineStr">
        <is>
          <t>TS-06</t>
        </is>
      </c>
      <c r="C97" s="6" t="inlineStr">
        <is>
          <t>The level chips filter by work-item level</t>
        </is>
      </c>
      <c r="D97" s="6" t="inlineStr">
        <is>
          <t>Functional</t>
        </is>
      </c>
      <c r="E97" s="6" t="inlineStr">
        <is>
          <t>High</t>
        </is>
      </c>
      <c r="F97" s="6" t="inlineStr">
        <is>
          <t>/work-items</t>
        </is>
      </c>
      <c r="G97" s="6" t="inlineStr">
        <is>
          <t>P1 Owner-Admin</t>
        </is>
      </c>
      <c r="H97" s="6" t="inlineStr">
        <is>
          <t>Yes</t>
        </is>
      </c>
      <c r="I97" s="6" t="inlineStr">
        <is>
          <t>B</t>
        </is>
      </c>
      <c r="J97" s="6" t="inlineStr">
        <is>
          <t>Not Run</t>
        </is>
      </c>
      <c r="K97" s="6" t="n"/>
      <c r="L97" s="6" t="n"/>
      <c r="M97" s="6" t="n"/>
      <c r="N97" s="6" t="n"/>
      <c r="O97" s="6" t="n"/>
      <c r="P97" s="6" t="n"/>
    </row>
    <row r="98">
      <c r="A98" s="6" t="inlineStr">
        <is>
          <t>TC-088</t>
        </is>
      </c>
      <c r="B98" s="6" t="inlineStr">
        <is>
          <t>TS-06</t>
        </is>
      </c>
      <c r="C98" s="6" t="inlineStr">
        <is>
          <t>The Tasks chip switches the board to the two build columns</t>
        </is>
      </c>
      <c r="D98" s="6" t="inlineStr">
        <is>
          <t>Functional</t>
        </is>
      </c>
      <c r="E98" s="6" t="inlineStr">
        <is>
          <t>High</t>
        </is>
      </c>
      <c r="F98" s="6" t="inlineStr">
        <is>
          <t>/work-items</t>
        </is>
      </c>
      <c r="G98" s="6" t="inlineStr">
        <is>
          <t>P1 Owner-Admin</t>
        </is>
      </c>
      <c r="H98" s="6" t="inlineStr">
        <is>
          <t>Yes</t>
        </is>
      </c>
      <c r="I98" s="6" t="inlineStr">
        <is>
          <t>B</t>
        </is>
      </c>
      <c r="J98" s="6" t="inlineStr">
        <is>
          <t>Not Run</t>
        </is>
      </c>
      <c r="K98" s="6" t="n"/>
      <c r="L98" s="6" t="n"/>
      <c r="M98" s="6" t="n"/>
      <c r="N98" s="6" t="n"/>
      <c r="O98" s="6" t="n"/>
      <c r="P98" s="6" t="n"/>
    </row>
    <row r="99">
      <c r="A99" s="6" t="inlineStr">
        <is>
          <t>TC-089</t>
        </is>
      </c>
      <c r="B99" s="6" t="inlineStr">
        <is>
          <t>TS-06</t>
        </is>
      </c>
      <c r="C99" s="6" t="inlineStr">
        <is>
          <t>The Role filter offers only roles that own a phase an item is in</t>
        </is>
      </c>
      <c r="D99" s="6" t="inlineStr">
        <is>
          <t>Functional</t>
        </is>
      </c>
      <c r="E99" s="6" t="inlineStr">
        <is>
          <t>Medium</t>
        </is>
      </c>
      <c r="F99" s="6" t="inlineStr">
        <is>
          <t>/work-items</t>
        </is>
      </c>
      <c r="G99" s="6" t="inlineStr">
        <is>
          <t>P1 Owner-Admin</t>
        </is>
      </c>
      <c r="H99" s="6" t="inlineStr">
        <is>
          <t>Yes</t>
        </is>
      </c>
      <c r="I99" s="6" t="inlineStr">
        <is>
          <t>B</t>
        </is>
      </c>
      <c r="J99" s="6" t="inlineStr">
        <is>
          <t>Not Run</t>
        </is>
      </c>
      <c r="K99" s="6" t="n"/>
      <c r="L99" s="6" t="n"/>
      <c r="M99" s="6" t="n"/>
      <c r="N99" s="6" t="n"/>
      <c r="O99" s="6" t="n"/>
      <c r="P99" s="6" t="n"/>
    </row>
    <row r="100">
      <c r="A100" s="6" t="inlineStr">
        <is>
          <t>TC-090</t>
        </is>
      </c>
      <c r="B100" s="6" t="inlineStr">
        <is>
          <t>TS-06</t>
        </is>
      </c>
      <c r="C100" s="6" t="inlineStr">
        <is>
          <t>The Status filter narrows the board by work-item state</t>
        </is>
      </c>
      <c r="D100" s="6" t="inlineStr">
        <is>
          <t>Functional</t>
        </is>
      </c>
      <c r="E100" s="6" t="inlineStr">
        <is>
          <t>Medium</t>
        </is>
      </c>
      <c r="F100" s="6" t="inlineStr">
        <is>
          <t>/work-items</t>
        </is>
      </c>
      <c r="G100" s="6" t="inlineStr">
        <is>
          <t>P1 Owner-Admin</t>
        </is>
      </c>
      <c r="H100" s="6" t="inlineStr">
        <is>
          <t>Yes</t>
        </is>
      </c>
      <c r="I100" s="6" t="inlineStr">
        <is>
          <t>B</t>
        </is>
      </c>
      <c r="J100" s="6" t="inlineStr">
        <is>
          <t>Not Run</t>
        </is>
      </c>
      <c r="K100" s="6" t="n"/>
      <c r="L100" s="6" t="n"/>
      <c r="M100" s="6" t="n"/>
      <c r="N100" s="6" t="n"/>
      <c r="O100" s="6" t="n"/>
      <c r="P100" s="6" t="n"/>
    </row>
    <row r="101">
      <c r="A101" s="6" t="inlineStr">
        <is>
          <t>TC-091</t>
        </is>
      </c>
      <c r="B101" s="6" t="inlineStr">
        <is>
          <t>TS-06</t>
        </is>
      </c>
      <c r="C101" s="6" t="inlineStr">
        <is>
          <t>The epic detail screen shows the plan-tier lifecycle</t>
        </is>
      </c>
      <c r="D101" s="6" t="inlineStr">
        <is>
          <t>Functional</t>
        </is>
      </c>
      <c r="E101" s="6" t="inlineStr">
        <is>
          <t>High</t>
        </is>
      </c>
      <c r="F101" s="6" t="inlineStr">
        <is>
          <t>/work-items/:id</t>
        </is>
      </c>
      <c r="G101" s="6" t="inlineStr">
        <is>
          <t>P1 Owner-Admin</t>
        </is>
      </c>
      <c r="H101" s="6" t="inlineStr">
        <is>
          <t>Yes</t>
        </is>
      </c>
      <c r="I101" s="6" t="inlineStr">
        <is>
          <t>B</t>
        </is>
      </c>
      <c r="J101" s="6" t="inlineStr">
        <is>
          <t>Not Run</t>
        </is>
      </c>
      <c r="K101" s="6" t="n"/>
      <c r="L101" s="6" t="n"/>
      <c r="M101" s="6" t="n"/>
      <c r="N101" s="6" t="n"/>
      <c r="O101" s="6" t="n"/>
      <c r="P101" s="6" t="n"/>
    </row>
    <row r="102">
      <c r="A102" s="6" t="inlineStr">
        <is>
          <t>TC-092</t>
        </is>
      </c>
      <c r="B102" s="6" t="inlineStr">
        <is>
          <t>TS-06</t>
        </is>
      </c>
      <c r="C102" s="6" t="inlineStr">
        <is>
          <t>The Test cases button on an epic opens its test-case screen</t>
        </is>
      </c>
      <c r="D102" s="6" t="inlineStr">
        <is>
          <t>Functional</t>
        </is>
      </c>
      <c r="E102" s="6" t="inlineStr">
        <is>
          <t>Medium</t>
        </is>
      </c>
      <c r="F102" s="6" t="inlineStr">
        <is>
          <t>/work-items/:id</t>
        </is>
      </c>
      <c r="G102" s="6" t="inlineStr">
        <is>
          <t>P1 Owner-Admin</t>
        </is>
      </c>
      <c r="H102" s="6" t="inlineStr">
        <is>
          <t>Yes</t>
        </is>
      </c>
      <c r="I102" s="6" t="inlineStr">
        <is>
          <t>B</t>
        </is>
      </c>
      <c r="J102" s="6" t="inlineStr">
        <is>
          <t>Not Run</t>
        </is>
      </c>
      <c r="K102" s="6" t="n"/>
      <c r="L102" s="6" t="n"/>
      <c r="M102" s="6" t="n"/>
      <c r="N102" s="6" t="n"/>
      <c r="O102" s="6" t="n"/>
      <c r="P102" s="6" t="n"/>
    </row>
    <row r="103">
      <c r="A103" s="6" t="inlineStr">
        <is>
          <t>TC-093</t>
        </is>
      </c>
      <c r="B103" s="6" t="inlineStr">
        <is>
          <t>TS-06</t>
        </is>
      </c>
      <c r="C103" s="6" t="inlineStr">
        <is>
          <t>The task detail screen shows the build-tier lifecycle and its parent</t>
        </is>
      </c>
      <c r="D103" s="6" t="inlineStr">
        <is>
          <t>Functional</t>
        </is>
      </c>
      <c r="E103" s="6" t="inlineStr">
        <is>
          <t>High</t>
        </is>
      </c>
      <c r="F103" s="6" t="inlineStr">
        <is>
          <t>/work-items/:id</t>
        </is>
      </c>
      <c r="G103" s="6" t="inlineStr">
        <is>
          <t>P1 Owner-Admin</t>
        </is>
      </c>
      <c r="H103" s="6" t="inlineStr">
        <is>
          <t>No</t>
        </is>
      </c>
      <c r="I103" s="6" t="inlineStr">
        <is>
          <t>B</t>
        </is>
      </c>
      <c r="J103" s="6" t="inlineStr">
        <is>
          <t>Not Run</t>
        </is>
      </c>
      <c r="K103" s="6" t="n"/>
      <c r="L103" s="6" t="n"/>
      <c r="M103" s="6" t="n"/>
      <c r="N103" s="6" t="n"/>
      <c r="O103" s="6" t="n"/>
      <c r="P103" s="6" t="n"/>
    </row>
    <row r="104">
      <c r="A104" s="6" t="inlineStr">
        <is>
          <t>TC-094</t>
        </is>
      </c>
      <c r="B104" s="6" t="inlineStr">
        <is>
          <t>TS-06</t>
        </is>
      </c>
      <c r="C104" s="6" t="inlineStr">
        <is>
          <t>The Repository card appears only on multi-repo projects</t>
        </is>
      </c>
      <c r="D104" s="6" t="inlineStr">
        <is>
          <t>Negative</t>
        </is>
      </c>
      <c r="E104" s="6" t="inlineStr">
        <is>
          <t>Medium</t>
        </is>
      </c>
      <c r="F104" s="6" t="inlineStr">
        <is>
          <t>/work-items/:id</t>
        </is>
      </c>
      <c r="G104" s="6" t="inlineStr">
        <is>
          <t>P1 Owner-Admin</t>
        </is>
      </c>
      <c r="H104" s="6" t="inlineStr">
        <is>
          <t>No</t>
        </is>
      </c>
      <c r="I104" s="6" t="inlineStr">
        <is>
          <t>B</t>
        </is>
      </c>
      <c r="J104" s="6" t="inlineStr">
        <is>
          <t>Not Run</t>
        </is>
      </c>
      <c r="K104" s="6" t="n"/>
      <c r="L104" s="6" t="n"/>
      <c r="M104" s="6" t="n"/>
      <c r="N104" s="6" t="n"/>
      <c r="O104" s="6" t="n"/>
      <c r="P104" s="6" t="n"/>
    </row>
    <row r="105">
      <c r="A105" s="6" t="inlineStr">
        <is>
          <t>TC-095</t>
        </is>
      </c>
      <c r="B105" s="6" t="inlineStr">
        <is>
          <t>TS-06</t>
        </is>
      </c>
      <c r="C105" s="6" t="inlineStr">
        <is>
          <t>The defect detail screen shows the remediation lifecycle</t>
        </is>
      </c>
      <c r="D105" s="6" t="inlineStr">
        <is>
          <t>Functional</t>
        </is>
      </c>
      <c r="E105" s="6" t="inlineStr">
        <is>
          <t>High</t>
        </is>
      </c>
      <c r="F105" s="6" t="inlineStr">
        <is>
          <t>/work-items/:id</t>
        </is>
      </c>
      <c r="G105" s="6" t="inlineStr">
        <is>
          <t>P1 Owner-Admin</t>
        </is>
      </c>
      <c r="H105" s="6" t="inlineStr">
        <is>
          <t>Yes</t>
        </is>
      </c>
      <c r="I105" s="6" t="inlineStr">
        <is>
          <t>B</t>
        </is>
      </c>
      <c r="J105" s="6" t="inlineStr">
        <is>
          <t>Not Run</t>
        </is>
      </c>
      <c r="K105" s="6" t="n"/>
      <c r="L105" s="6" t="n"/>
      <c r="M105" s="6" t="n"/>
      <c r="N105" s="6" t="n"/>
      <c r="O105" s="6" t="n"/>
      <c r="P105" s="6" t="n"/>
    </row>
    <row r="106">
      <c r="A106" s="6" t="inlineStr">
        <is>
          <t>TC-096</t>
        </is>
      </c>
      <c r="B106" s="6" t="inlineStr">
        <is>
          <t>TS-06</t>
        </is>
      </c>
      <c r="C106" s="6" t="inlineStr">
        <is>
          <t>The board reflects a work item that has moved through phases</t>
        </is>
      </c>
      <c r="D106" s="6" t="inlineStr">
        <is>
          <t>E2E</t>
        </is>
      </c>
      <c r="E106" s="6" t="inlineStr">
        <is>
          <t>High</t>
        </is>
      </c>
      <c r="F106" s="6" t="inlineStr">
        <is>
          <t>/work-items, /work-items/:id</t>
        </is>
      </c>
      <c r="G106" s="6" t="inlineStr">
        <is>
          <t>P1 Owner-Admin</t>
        </is>
      </c>
      <c r="H106" s="6" t="inlineStr">
        <is>
          <t>No</t>
        </is>
      </c>
      <c r="I106" s="6" t="inlineStr">
        <is>
          <t>B</t>
        </is>
      </c>
      <c r="J106" s="6" t="inlineStr">
        <is>
          <t>Not Run</t>
        </is>
      </c>
      <c r="K106" s="6" t="n"/>
      <c r="L106" s="6" t="n"/>
      <c r="M106" s="6" t="n"/>
      <c r="N106" s="6" t="n"/>
      <c r="O106" s="6" t="n"/>
      <c r="P106" s="6" t="n"/>
    </row>
    <row r="107">
      <c r="A107" s="6" t="inlineStr">
        <is>
          <t>TC-601</t>
        </is>
      </c>
      <c r="B107" s="6" t="inlineStr">
        <is>
          <t>TS-06</t>
        </is>
      </c>
      <c r="C107" s="6" t="inlineStr">
        <is>
          <t>An unknown work-item id shows a not-found panel, not a broken epic screen</t>
        </is>
      </c>
      <c r="D107" s="6" t="inlineStr">
        <is>
          <t>Negative</t>
        </is>
      </c>
      <c r="E107" s="6" t="inlineStr">
        <is>
          <t>Medium</t>
        </is>
      </c>
      <c r="F107" s="6" t="inlineStr">
        <is>
          <t>/work-items/:id</t>
        </is>
      </c>
      <c r="G107" s="6" t="inlineStr">
        <is>
          <t>P1 Owner-Admin</t>
        </is>
      </c>
      <c r="H107" s="6" t="inlineStr">
        <is>
          <t>Yes</t>
        </is>
      </c>
      <c r="I107" s="6" t="inlineStr">
        <is>
          <t>B</t>
        </is>
      </c>
      <c r="J107" s="6" t="inlineStr">
        <is>
          <t>Not Run</t>
        </is>
      </c>
      <c r="K107" s="6" t="n"/>
      <c r="L107" s="6" t="n"/>
      <c r="M107" s="6" t="n"/>
      <c r="N107" s="6" t="n"/>
      <c r="O107" s="6" t="n"/>
      <c r="P107" s="6" t="n"/>
    </row>
    <row r="108">
      <c r="A108" s="6" t="inlineStr">
        <is>
          <t>TC-602</t>
        </is>
      </c>
      <c r="B108" s="6" t="inlineStr">
        <is>
          <t>TS-06</t>
        </is>
      </c>
      <c r="C108" s="6" t="inlineStr">
        <is>
          <t>The Task Breakdown screen's greenfield default state</t>
        </is>
      </c>
      <c r="D108" s="6" t="inlineStr">
        <is>
          <t>UX</t>
        </is>
      </c>
      <c r="E108" s="6" t="inlineStr">
        <is>
          <t>Medium</t>
        </is>
      </c>
      <c r="F108" s="6" t="inlineStr">
        <is>
          <t>/work-items/:id/breakdown</t>
        </is>
      </c>
      <c r="G108" s="6" t="inlineStr">
        <is>
          <t>P1 Owner-Admin</t>
        </is>
      </c>
      <c r="H108" s="6" t="inlineStr">
        <is>
          <t>No</t>
        </is>
      </c>
      <c r="I108" s="6" t="inlineStr">
        <is>
          <t>B</t>
        </is>
      </c>
      <c r="J108" s="6" t="inlineStr">
        <is>
          <t>Not Run</t>
        </is>
      </c>
      <c r="K108" s="6" t="n"/>
      <c r="L108" s="6" t="n"/>
      <c r="M108" s="6" t="n"/>
      <c r="N108" s="6" t="n"/>
      <c r="O108" s="6" t="n"/>
      <c r="P108" s="6" t="n"/>
    </row>
    <row r="109">
      <c r="A109" s="6" t="inlineStr">
        <is>
          <t>TC-603</t>
        </is>
      </c>
      <c r="B109" s="6" t="inlineStr">
        <is>
          <t>TS-06</t>
        </is>
      </c>
      <c r="C109" s="6" t="inlineStr">
        <is>
          <t>Re-triggering a phase on a task asks for confirmation first</t>
        </is>
      </c>
      <c r="D109" s="6" t="inlineStr">
        <is>
          <t>Functional</t>
        </is>
      </c>
      <c r="E109" s="6" t="inlineStr">
        <is>
          <t>High</t>
        </is>
      </c>
      <c r="F109" s="6" t="inlineStr">
        <is>
          <t>/work-items/:id</t>
        </is>
      </c>
      <c r="G109" s="6" t="inlineStr">
        <is>
          <t>P1 Owner-Admin</t>
        </is>
      </c>
      <c r="H109" s="6" t="inlineStr">
        <is>
          <t>No</t>
        </is>
      </c>
      <c r="I109" s="6" t="inlineStr">
        <is>
          <t>B</t>
        </is>
      </c>
      <c r="J109" s="6" t="inlineStr">
        <is>
          <t>Not Run</t>
        </is>
      </c>
      <c r="K109" s="6" t="n"/>
      <c r="L109" s="6" t="n"/>
      <c r="M109" s="6" t="n"/>
      <c r="N109" s="6" t="n"/>
      <c r="O109" s="6" t="n"/>
      <c r="P109" s="6" t="n"/>
    </row>
    <row r="110">
      <c r="A110" s="6" t="inlineStr">
        <is>
          <t>TC-604</t>
        </is>
      </c>
      <c r="B110" s="6" t="inlineStr">
        <is>
          <t>TS-06</t>
        </is>
      </c>
      <c r="C110" s="6" t="inlineStr">
        <is>
          <t>A non-admin engineer can create work items</t>
        </is>
      </c>
      <c r="D110" s="6" t="inlineStr">
        <is>
          <t>Permission</t>
        </is>
      </c>
      <c r="E110" s="6" t="inlineStr">
        <is>
          <t>High</t>
        </is>
      </c>
      <c r="F110" s="6" t="inlineStr">
        <is>
          <t>/work-items, /work-items/:id</t>
        </is>
      </c>
      <c r="G110" s="6" t="inlineStr">
        <is>
          <t>P10 Engineer</t>
        </is>
      </c>
      <c r="H110" s="6" t="inlineStr">
        <is>
          <t>No</t>
        </is>
      </c>
      <c r="I110" s="6" t="inlineStr">
        <is>
          <t>B</t>
        </is>
      </c>
      <c r="J110" s="6" t="inlineStr">
        <is>
          <t>Not Run</t>
        </is>
      </c>
      <c r="K110" s="6" t="n"/>
      <c r="L110" s="6" t="n"/>
      <c r="M110" s="6" t="n"/>
      <c r="N110" s="6" t="n"/>
      <c r="O110" s="6" t="n"/>
      <c r="P110" s="6" t="n"/>
    </row>
    <row r="111">
      <c r="A111" s="6" t="inlineStr">
        <is>
          <t>TC-097</t>
        </is>
      </c>
      <c r="B111" s="6" t="inlineStr">
        <is>
          <t>TS-07</t>
        </is>
      </c>
      <c r="C111" s="6" t="inlineStr">
        <is>
          <t>Trigger panel renders with the companion online</t>
        </is>
      </c>
      <c r="D111" s="6" t="inlineStr">
        <is>
          <t>Functional</t>
        </is>
      </c>
      <c r="E111" s="6" t="inlineStr">
        <is>
          <t>Critical</t>
        </is>
      </c>
      <c r="F111" s="6" t="inlineStr">
        <is>
          <t>/runs</t>
        </is>
      </c>
      <c r="G111" s="6" t="inlineStr">
        <is>
          <t>P1 Owner-Admin</t>
        </is>
      </c>
      <c r="H111" s="6" t="inlineStr">
        <is>
          <t>No</t>
        </is>
      </c>
      <c r="I111" s="6" t="inlineStr">
        <is>
          <t>C</t>
        </is>
      </c>
      <c r="J111" s="6" t="inlineStr">
        <is>
          <t>Not Run</t>
        </is>
      </c>
      <c r="K111" s="6" t="n"/>
      <c r="L111" s="6" t="n"/>
      <c r="M111" s="6" t="n"/>
      <c r="N111" s="6" t="n"/>
      <c r="O111" s="6" t="n"/>
      <c r="P111" s="6" t="n"/>
    </row>
    <row r="112">
      <c r="A112" s="6" t="inlineStr">
        <is>
          <t>TC-098</t>
        </is>
      </c>
      <c r="B112" s="6" t="inlineStr">
        <is>
          <t>TS-07</t>
        </is>
      </c>
      <c r="C112" s="6" t="inlineStr">
        <is>
          <t>Each phase button names the role that will decide its gate</t>
        </is>
      </c>
      <c r="D112" s="6" t="inlineStr">
        <is>
          <t>UX</t>
        </is>
      </c>
      <c r="E112" s="6" t="inlineStr">
        <is>
          <t>Medium</t>
        </is>
      </c>
      <c r="F112" s="6" t="inlineStr">
        <is>
          <t>/runs</t>
        </is>
      </c>
      <c r="G112" s="6" t="inlineStr">
        <is>
          <t>P1 Owner-Admin</t>
        </is>
      </c>
      <c r="H112" s="6" t="inlineStr">
        <is>
          <t>No</t>
        </is>
      </c>
      <c r="I112" s="6" t="inlineStr">
        <is>
          <t>C</t>
        </is>
      </c>
      <c r="J112" s="6" t="inlineStr">
        <is>
          <t>Not Run</t>
        </is>
      </c>
      <c r="K112" s="6" t="n"/>
      <c r="L112" s="6" t="n"/>
      <c r="M112" s="6" t="n"/>
      <c r="N112" s="6" t="n"/>
      <c r="O112" s="6" t="n"/>
      <c r="P112" s="6" t="n"/>
    </row>
    <row r="113">
      <c r="A113" s="6" t="inlineStr">
        <is>
          <t>TC-099</t>
        </is>
      </c>
      <c r="B113" s="6" t="inlineStr">
        <is>
          <t>TS-07</t>
        </is>
      </c>
      <c r="C113" s="6" t="inlineStr">
        <is>
          <t>The work-item picker is searchable and reports no matches</t>
        </is>
      </c>
      <c r="D113" s="6" t="inlineStr">
        <is>
          <t>Functional</t>
        </is>
      </c>
      <c r="E113" s="6" t="inlineStr">
        <is>
          <t>Medium</t>
        </is>
      </c>
      <c r="F113" s="6" t="inlineStr">
        <is>
          <t>/runs</t>
        </is>
      </c>
      <c r="G113" s="6" t="inlineStr">
        <is>
          <t>P1 Owner-Admin</t>
        </is>
      </c>
      <c r="H113" s="6" t="inlineStr">
        <is>
          <t>No</t>
        </is>
      </c>
      <c r="I113" s="6" t="inlineStr">
        <is>
          <t>C</t>
        </is>
      </c>
      <c r="J113" s="6" t="inlineStr">
        <is>
          <t>Not Run</t>
        </is>
      </c>
      <c r="K113" s="6" t="n"/>
      <c r="L113" s="6" t="n"/>
      <c r="M113" s="6" t="n"/>
      <c r="N113" s="6" t="n"/>
      <c r="O113" s="6" t="n"/>
      <c r="P113" s="6" t="n"/>
    </row>
    <row r="114">
      <c r="A114" s="6" t="inlineStr">
        <is>
          <t>TC-100</t>
        </is>
      </c>
      <c r="B114" s="6" t="inlineStr">
        <is>
          <t>TS-07</t>
        </is>
      </c>
      <c r="C114" s="6" t="inlineStr">
        <is>
          <t>Triggering Ideation on the epic starts a run</t>
        </is>
      </c>
      <c r="D114" s="6" t="inlineStr">
        <is>
          <t>Functional</t>
        </is>
      </c>
      <c r="E114" s="6" t="inlineStr">
        <is>
          <t>Critical</t>
        </is>
      </c>
      <c r="F114" s="6" t="inlineStr">
        <is>
          <t>/runs</t>
        </is>
      </c>
      <c r="G114" s="6" t="inlineStr">
        <is>
          <t>P1 Owner-Admin</t>
        </is>
      </c>
      <c r="H114" s="6" t="inlineStr">
        <is>
          <t>No</t>
        </is>
      </c>
      <c r="I114" s="6" t="inlineStr">
        <is>
          <t>C</t>
        </is>
      </c>
      <c r="J114" s="6" t="inlineStr">
        <is>
          <t>Not Run</t>
        </is>
      </c>
      <c r="K114" s="6" t="n"/>
      <c r="L114" s="6" t="n"/>
      <c r="M114" s="6" t="n"/>
      <c r="N114" s="6" t="n"/>
      <c r="O114" s="6" t="n"/>
      <c r="P114" s="6" t="n"/>
    </row>
    <row r="115">
      <c r="A115" s="6" t="inlineStr">
        <is>
          <t>TC-101</t>
        </is>
      </c>
      <c r="B115" s="6" t="inlineStr">
        <is>
          <t>TS-07</t>
        </is>
      </c>
      <c r="C115" s="6" t="inlineStr">
        <is>
          <t>The new run appears in the Runs table with the correct columns</t>
        </is>
      </c>
      <c r="D115" s="6" t="inlineStr">
        <is>
          <t>Functional</t>
        </is>
      </c>
      <c r="E115" s="6" t="inlineStr">
        <is>
          <t>High</t>
        </is>
      </c>
      <c r="F115" s="6" t="inlineStr">
        <is>
          <t>/runs</t>
        </is>
      </c>
      <c r="G115" s="6" t="inlineStr">
        <is>
          <t>P1 Owner-Admin</t>
        </is>
      </c>
      <c r="H115" s="6" t="inlineStr">
        <is>
          <t>No</t>
        </is>
      </c>
      <c r="I115" s="6" t="inlineStr">
        <is>
          <t>C</t>
        </is>
      </c>
      <c r="J115" s="6" t="inlineStr">
        <is>
          <t>Not Run</t>
        </is>
      </c>
      <c r="K115" s="6" t="n"/>
      <c r="L115" s="6" t="n"/>
      <c r="M115" s="6" t="n"/>
      <c r="N115" s="6" t="n"/>
      <c r="O115" s="6" t="n"/>
      <c r="P115" s="6" t="n"/>
    </row>
    <row r="116">
      <c r="A116" s="6" t="inlineStr">
        <is>
          <t>TC-102</t>
        </is>
      </c>
      <c r="B116" s="6" t="inlineStr">
        <is>
          <t>TS-07</t>
        </is>
      </c>
      <c r="C116" s="6" t="inlineStr">
        <is>
          <t>The run console header identifies the run</t>
        </is>
      </c>
      <c r="D116" s="6" t="inlineStr">
        <is>
          <t>Functional</t>
        </is>
      </c>
      <c r="E116" s="6" t="inlineStr">
        <is>
          <t>High</t>
        </is>
      </c>
      <c r="F116" s="6" t="inlineStr">
        <is>
          <t>/runs/:id</t>
        </is>
      </c>
      <c r="G116" s="6" t="inlineStr">
        <is>
          <t>P1 Owner-Admin</t>
        </is>
      </c>
      <c r="H116" s="6" t="inlineStr">
        <is>
          <t>No</t>
        </is>
      </c>
      <c r="I116" s="6" t="inlineStr">
        <is>
          <t>C</t>
        </is>
      </c>
      <c r="J116" s="6" t="inlineStr">
        <is>
          <t>Not Run</t>
        </is>
      </c>
      <c r="K116" s="6" t="n"/>
      <c r="L116" s="6" t="n"/>
      <c r="M116" s="6" t="n"/>
      <c r="N116" s="6" t="n"/>
      <c r="O116" s="6" t="n"/>
      <c r="P116" s="6" t="n"/>
    </row>
    <row r="117">
      <c r="A117" s="6" t="inlineStr">
        <is>
          <t>TC-103</t>
        </is>
      </c>
      <c r="B117" s="6" t="inlineStr">
        <is>
          <t>TS-07</t>
        </is>
      </c>
      <c r="C117" s="6" t="inlineStr">
        <is>
          <t>The run console walks the status sequence to Awaiting gate</t>
        </is>
      </c>
      <c r="D117" s="6" t="inlineStr">
        <is>
          <t>E2E</t>
        </is>
      </c>
      <c r="E117" s="6" t="inlineStr">
        <is>
          <t>Critical</t>
        </is>
      </c>
      <c r="F117" s="6" t="inlineStr">
        <is>
          <t>/runs/:id</t>
        </is>
      </c>
      <c r="G117" s="6" t="inlineStr">
        <is>
          <t>P1 Owner-Admin</t>
        </is>
      </c>
      <c r="H117" s="6" t="inlineStr">
        <is>
          <t>No</t>
        </is>
      </c>
      <c r="I117" s="6" t="inlineStr">
        <is>
          <t>C</t>
        </is>
      </c>
      <c r="J117" s="6" t="inlineStr">
        <is>
          <t>Not Run</t>
        </is>
      </c>
      <c r="K117" s="6" t="n"/>
      <c r="L117" s="6" t="n"/>
      <c r="M117" s="6" t="n"/>
      <c r="N117" s="6" t="n"/>
      <c r="O117" s="6" t="n"/>
      <c r="P117" s="6" t="n"/>
    </row>
    <row r="118">
      <c r="A118" s="6" t="inlineStr">
        <is>
          <t>TC-104</t>
        </is>
      </c>
      <c r="B118" s="6" t="inlineStr">
        <is>
          <t>TS-07</t>
        </is>
      </c>
      <c r="C118" s="6" t="inlineStr">
        <is>
          <t>Log lines appear in the run console</t>
        </is>
      </c>
      <c r="D118" s="6" t="inlineStr">
        <is>
          <t>Functional</t>
        </is>
      </c>
      <c r="E118" s="6" t="inlineStr">
        <is>
          <t>High</t>
        </is>
      </c>
      <c r="F118" s="6" t="inlineStr">
        <is>
          <t>/runs/:id</t>
        </is>
      </c>
      <c r="G118" s="6" t="inlineStr">
        <is>
          <t>P1 Owner-Admin</t>
        </is>
      </c>
      <c r="H118" s="6" t="inlineStr">
        <is>
          <t>No</t>
        </is>
      </c>
      <c r="I118" s="6" t="inlineStr">
        <is>
          <t>C</t>
        </is>
      </c>
      <c r="J118" s="6" t="inlineStr">
        <is>
          <t>Not Run</t>
        </is>
      </c>
      <c r="K118" s="6" t="n"/>
      <c r="L118" s="6" t="n"/>
      <c r="M118" s="6" t="n"/>
      <c r="N118" s="6" t="n"/>
      <c r="O118" s="6" t="n"/>
      <c r="P118" s="6" t="n"/>
    </row>
    <row r="119">
      <c r="A119" s="6" t="inlineStr">
        <is>
          <t>TC-105</t>
        </is>
      </c>
      <c r="B119" s="6" t="inlineStr">
        <is>
          <t>TS-07</t>
        </is>
      </c>
      <c r="C119" s="6" t="inlineStr">
        <is>
          <t>The work item moves off Not started once its phase runs</t>
        </is>
      </c>
      <c r="D119" s="6" t="inlineStr">
        <is>
          <t>Functional</t>
        </is>
      </c>
      <c r="E119" s="6" t="inlineStr">
        <is>
          <t>High</t>
        </is>
      </c>
      <c r="F119" s="6" t="inlineStr">
        <is>
          <t>/work-items · /runs/:id</t>
        </is>
      </c>
      <c r="G119" s="6" t="inlineStr">
        <is>
          <t>P1 Owner-Admin</t>
        </is>
      </c>
      <c r="H119" s="6" t="inlineStr">
        <is>
          <t>No</t>
        </is>
      </c>
      <c r="I119" s="6" t="inlineStr">
        <is>
          <t>C</t>
        </is>
      </c>
      <c r="J119" s="6" t="inlineStr">
        <is>
          <t>Not Run</t>
        </is>
      </c>
      <c r="K119" s="6" t="n"/>
      <c r="L119" s="6" t="n"/>
      <c r="M119" s="6" t="n"/>
      <c r="N119" s="6" t="n"/>
      <c r="O119" s="6" t="n"/>
      <c r="P119" s="6" t="n"/>
    </row>
    <row r="120">
      <c r="A120" s="6" t="inlineStr">
        <is>
          <t>TC-106</t>
        </is>
      </c>
      <c r="B120" s="6" t="inlineStr">
        <is>
          <t>TS-07</t>
        </is>
      </c>
      <c r="C120" s="6" t="inlineStr">
        <is>
          <t>Triggering a phase that is already running is blocked</t>
        </is>
      </c>
      <c r="D120" s="6" t="inlineStr">
        <is>
          <t>Negative</t>
        </is>
      </c>
      <c r="E120" s="6" t="inlineStr">
        <is>
          <t>Critical</t>
        </is>
      </c>
      <c r="F120" s="6" t="inlineStr">
        <is>
          <t>/runs</t>
        </is>
      </c>
      <c r="G120" s="6" t="inlineStr">
        <is>
          <t>P1 Owner-Admin</t>
        </is>
      </c>
      <c r="H120" s="6" t="inlineStr">
        <is>
          <t>No</t>
        </is>
      </c>
      <c r="I120" s="6" t="inlineStr">
        <is>
          <t>C</t>
        </is>
      </c>
      <c r="J120" s="6" t="inlineStr">
        <is>
          <t>Not Run</t>
        </is>
      </c>
      <c r="K120" s="6" t="n"/>
      <c r="L120" s="6" t="n"/>
      <c r="M120" s="6" t="n"/>
      <c r="N120" s="6" t="n"/>
      <c r="O120" s="6" t="n"/>
      <c r="P120" s="6" t="n"/>
    </row>
    <row r="121">
      <c r="A121" s="6" t="inlineStr">
        <is>
          <t>TC-107</t>
        </is>
      </c>
      <c r="B121" s="6" t="inlineStr">
        <is>
          <t>TS-07</t>
        </is>
      </c>
      <c r="C121" s="6" t="inlineStr">
        <is>
          <t>The re-run modal can be cancelled without starting a run</t>
        </is>
      </c>
      <c r="D121" s="6" t="inlineStr">
        <is>
          <t>Negative</t>
        </is>
      </c>
      <c r="E121" s="6" t="inlineStr">
        <is>
          <t>High</t>
        </is>
      </c>
      <c r="F121" s="6" t="inlineStr">
        <is>
          <t>/runs</t>
        </is>
      </c>
      <c r="G121" s="6" t="inlineStr">
        <is>
          <t>P1 Owner-Admin</t>
        </is>
      </c>
      <c r="H121" s="6" t="inlineStr">
        <is>
          <t>No</t>
        </is>
      </c>
      <c r="I121" s="6" t="inlineStr">
        <is>
          <t>C</t>
        </is>
      </c>
      <c r="J121" s="6" t="inlineStr">
        <is>
          <t>Not Run</t>
        </is>
      </c>
      <c r="K121" s="6" t="n"/>
      <c r="L121" s="6" t="n"/>
      <c r="M121" s="6" t="n"/>
      <c r="N121" s="6" t="n"/>
      <c r="O121" s="6" t="n"/>
      <c r="P121" s="6" t="n"/>
    </row>
    <row r="122">
      <c r="A122" s="6" t="inlineStr">
        <is>
          <t>TC-108</t>
        </is>
      </c>
      <c r="B122" s="6" t="inlineStr">
        <is>
          <t>TS-07</t>
        </is>
      </c>
      <c r="C122" s="6" t="inlineStr">
        <is>
          <t>Confirming a re-run creates a new run and keeps the old one</t>
        </is>
      </c>
      <c r="D122" s="6" t="inlineStr">
        <is>
          <t>Functional</t>
        </is>
      </c>
      <c r="E122" s="6" t="inlineStr">
        <is>
          <t>High</t>
        </is>
      </c>
      <c r="F122" s="6" t="inlineStr">
        <is>
          <t>/runs</t>
        </is>
      </c>
      <c r="G122" s="6" t="inlineStr">
        <is>
          <t>P1 Owner-Admin</t>
        </is>
      </c>
      <c r="H122" s="6" t="inlineStr">
        <is>
          <t>No</t>
        </is>
      </c>
      <c r="I122" s="6" t="inlineStr">
        <is>
          <t>C</t>
        </is>
      </c>
      <c r="J122" s="6" t="inlineStr">
        <is>
          <t>Not Run</t>
        </is>
      </c>
      <c r="K122" s="6" t="n"/>
      <c r="L122" s="6" t="n"/>
      <c r="M122" s="6" t="n"/>
      <c r="N122" s="6" t="n"/>
      <c r="O122" s="6" t="n"/>
      <c r="P122" s="6" t="n"/>
    </row>
    <row r="123">
      <c r="A123" s="6" t="inlineStr">
        <is>
          <t>TC-109</t>
        </is>
      </c>
      <c r="B123" s="6" t="inlineStr">
        <is>
          <t>TS-07</t>
        </is>
      </c>
      <c r="C123" s="6" t="inlineStr">
        <is>
          <t>An offline companion blocks the trigger panel</t>
        </is>
      </c>
      <c r="D123" s="6" t="inlineStr">
        <is>
          <t>Negative</t>
        </is>
      </c>
      <c r="E123" s="6" t="inlineStr">
        <is>
          <t>Critical</t>
        </is>
      </c>
      <c r="F123" s="6" t="inlineStr">
        <is>
          <t>/runs</t>
        </is>
      </c>
      <c r="G123" s="6" t="inlineStr">
        <is>
          <t>P1 Owner-Admin</t>
        </is>
      </c>
      <c r="H123" s="6" t="inlineStr">
        <is>
          <t>No</t>
        </is>
      </c>
      <c r="I123" s="6" t="inlineStr">
        <is>
          <t>C</t>
        </is>
      </c>
      <c r="J123" s="6" t="inlineStr">
        <is>
          <t>Not Run</t>
        </is>
      </c>
      <c r="K123" s="6" t="n"/>
      <c r="L123" s="6" t="n"/>
      <c r="M123" s="6" t="n"/>
      <c r="N123" s="6" t="n"/>
      <c r="O123" s="6" t="n"/>
      <c r="P123" s="6" t="n"/>
    </row>
    <row r="124">
      <c r="A124" s="6" t="inlineStr">
        <is>
          <t>TC-110</t>
        </is>
      </c>
      <c r="B124" s="6" t="inlineStr">
        <is>
          <t>TS-07</t>
        </is>
      </c>
      <c r="C124" s="6" t="inlineStr">
        <is>
          <t>A failed run shows the reason and offers a retry</t>
        </is>
      </c>
      <c r="D124" s="6" t="inlineStr">
        <is>
          <t>UX</t>
        </is>
      </c>
      <c r="E124" s="6" t="inlineStr">
        <is>
          <t>High</t>
        </is>
      </c>
      <c r="F124" s="6" t="inlineStr">
        <is>
          <t>/runs/:id</t>
        </is>
      </c>
      <c r="G124" s="6" t="inlineStr">
        <is>
          <t>P1 Owner-Admin</t>
        </is>
      </c>
      <c r="H124" s="6" t="inlineStr">
        <is>
          <t>No</t>
        </is>
      </c>
      <c r="I124" s="6" t="inlineStr">
        <is>
          <t>C</t>
        </is>
      </c>
      <c r="J124" s="6" t="inlineStr">
        <is>
          <t>Not Run</t>
        </is>
      </c>
      <c r="K124" s="6" t="n"/>
      <c r="L124" s="6" t="n"/>
      <c r="M124" s="6" t="n"/>
      <c r="N124" s="6" t="n"/>
      <c r="O124" s="6" t="n"/>
      <c r="P124" s="6" t="n"/>
    </row>
    <row r="125">
      <c r="A125" s="6" t="inlineStr">
        <is>
          <t>TC-111</t>
        </is>
      </c>
      <c r="B125" s="6" t="inlineStr">
        <is>
          <t>TS-07</t>
        </is>
      </c>
      <c r="C125" s="6" t="inlineStr">
        <is>
          <t>The Runs table empty state</t>
        </is>
      </c>
      <c r="D125" s="6" t="inlineStr">
        <is>
          <t>UX</t>
        </is>
      </c>
      <c r="E125" s="6" t="inlineStr">
        <is>
          <t>Medium</t>
        </is>
      </c>
      <c r="F125" s="6" t="inlineStr">
        <is>
          <t>/runs</t>
        </is>
      </c>
      <c r="G125" s="6" t="inlineStr">
        <is>
          <t>P1 Owner-Admin</t>
        </is>
      </c>
      <c r="H125" s="6" t="inlineStr">
        <is>
          <t>Yes</t>
        </is>
      </c>
      <c r="I125" s="6" t="inlineStr">
        <is>
          <t>C</t>
        </is>
      </c>
      <c r="J125" s="6" t="inlineStr">
        <is>
          <t>Not Run</t>
        </is>
      </c>
      <c r="K125" s="6" t="n"/>
      <c r="L125" s="6" t="n"/>
      <c r="M125" s="6" t="n"/>
      <c r="N125" s="6" t="n"/>
      <c r="O125" s="6" t="n"/>
      <c r="P125" s="6" t="n"/>
    </row>
    <row r="126">
      <c r="A126" s="6" t="inlineStr">
        <is>
          <t>TC-112</t>
        </is>
      </c>
      <c r="B126" s="6" t="inlineStr">
        <is>
          <t>TS-07</t>
        </is>
      </c>
      <c r="C126" s="6" t="inlineStr">
        <is>
          <t>A run id that does not exist shows Run not found</t>
        </is>
      </c>
      <c r="D126" s="6" t="inlineStr">
        <is>
          <t>Negative</t>
        </is>
      </c>
      <c r="E126" s="6" t="inlineStr">
        <is>
          <t>Medium</t>
        </is>
      </c>
      <c r="F126" s="6" t="inlineStr">
        <is>
          <t>/runs/:id</t>
        </is>
      </c>
      <c r="G126" s="6" t="inlineStr">
        <is>
          <t>P1 Owner-Admin</t>
        </is>
      </c>
      <c r="H126" s="6" t="inlineStr">
        <is>
          <t>Yes</t>
        </is>
      </c>
      <c r="I126" s="6" t="inlineStr">
        <is>
          <t>C</t>
        </is>
      </c>
      <c r="J126" s="6" t="inlineStr">
        <is>
          <t>Not Run</t>
        </is>
      </c>
      <c r="K126" s="6" t="n"/>
      <c r="L126" s="6" t="n"/>
      <c r="M126" s="6" t="n"/>
      <c r="N126" s="6" t="n"/>
      <c r="O126" s="6" t="n"/>
      <c r="P126" s="6" t="n"/>
    </row>
    <row r="127">
      <c r="A127" s="6" t="inlineStr">
        <is>
          <t>TC-701</t>
        </is>
      </c>
      <c r="B127" s="6" t="inlineStr">
        <is>
          <t>TS-07</t>
        </is>
      </c>
      <c r="C127" s="6" t="inlineStr">
        <is>
          <t>Triggering a different phase while a run is live fails with a 409 banner</t>
        </is>
      </c>
      <c r="D127" s="6" t="inlineStr">
        <is>
          <t>Negative</t>
        </is>
      </c>
      <c r="E127" s="6" t="inlineStr">
        <is>
          <t>Critical</t>
        </is>
      </c>
      <c r="F127" s="6" t="inlineStr">
        <is>
          <t>/runs</t>
        </is>
      </c>
      <c r="G127" s="6" t="inlineStr">
        <is>
          <t>P1 Owner-Admin</t>
        </is>
      </c>
      <c r="H127" s="6" t="inlineStr">
        <is>
          <t>No</t>
        </is>
      </c>
      <c r="I127" s="6" t="inlineStr">
        <is>
          <t>C</t>
        </is>
      </c>
      <c r="J127" s="6" t="inlineStr">
        <is>
          <t>Not Run</t>
        </is>
      </c>
      <c r="K127" s="6" t="n"/>
      <c r="L127" s="6" t="n"/>
      <c r="M127" s="6" t="n"/>
      <c r="N127" s="6" t="n"/>
      <c r="O127" s="6" t="n"/>
      <c r="P127" s="6" t="n"/>
    </row>
    <row r="128">
      <c r="A128" s="6" t="inlineStr">
        <is>
          <t>TC-702</t>
        </is>
      </c>
      <c r="B128" s="6" t="inlineStr">
        <is>
          <t>TS-07</t>
        </is>
      </c>
      <c r="C128" s="6" t="inlineStr">
        <is>
          <t>A parked run offers Resume from where it stopped</t>
        </is>
      </c>
      <c r="D128" s="6" t="inlineStr">
        <is>
          <t>UX</t>
        </is>
      </c>
      <c r="E128" s="6" t="inlineStr">
        <is>
          <t>High</t>
        </is>
      </c>
      <c r="F128" s="6" t="inlineStr">
        <is>
          <t>/runs/:id</t>
        </is>
      </c>
      <c r="G128" s="6" t="inlineStr">
        <is>
          <t>P1 Owner-Admin</t>
        </is>
      </c>
      <c r="H128" s="6" t="inlineStr">
        <is>
          <t>No</t>
        </is>
      </c>
      <c r="I128" s="6" t="inlineStr">
        <is>
          <t>C</t>
        </is>
      </c>
      <c r="J128" s="6" t="inlineStr">
        <is>
          <t>Not Run</t>
        </is>
      </c>
      <c r="K128" s="6" t="n"/>
      <c r="L128" s="6" t="n"/>
      <c r="M128" s="6" t="n"/>
      <c r="N128" s="6" t="n"/>
      <c r="O128" s="6" t="n"/>
      <c r="P128" s="6" t="n"/>
    </row>
    <row r="129">
      <c r="A129" s="6" t="inlineStr">
        <is>
          <t>TC-703</t>
        </is>
      </c>
      <c r="B129" s="6" t="inlineStr">
        <is>
          <t>TS-07</t>
        </is>
      </c>
      <c r="C129" s="6" t="inlineStr">
        <is>
          <t>An auto-retried run links to its continuation run</t>
        </is>
      </c>
      <c r="D129" s="6" t="inlineStr">
        <is>
          <t>UX</t>
        </is>
      </c>
      <c r="E129" s="6" t="inlineStr">
        <is>
          <t>Medium</t>
        </is>
      </c>
      <c r="F129" s="6" t="inlineStr">
        <is>
          <t>/runs/:id</t>
        </is>
      </c>
      <c r="G129" s="6" t="inlineStr">
        <is>
          <t>P1 Owner-Admin</t>
        </is>
      </c>
      <c r="H129" s="6" t="inlineStr">
        <is>
          <t>No</t>
        </is>
      </c>
      <c r="I129" s="6" t="inlineStr">
        <is>
          <t>C</t>
        </is>
      </c>
      <c r="J129" s="6" t="inlineStr">
        <is>
          <t>Not Run</t>
        </is>
      </c>
      <c r="K129" s="6" t="n"/>
      <c r="L129" s="6" t="n"/>
      <c r="M129" s="6" t="n"/>
      <c r="N129" s="6" t="n"/>
      <c r="O129" s="6" t="n"/>
      <c r="P129" s="6" t="n"/>
    </row>
    <row r="130">
      <c r="A130" s="6" t="inlineStr">
        <is>
          <t>TC-704</t>
        </is>
      </c>
      <c r="B130" s="6" t="inlineStr">
        <is>
          <t>TS-07</t>
        </is>
      </c>
      <c r="C130" s="6" t="inlineStr">
        <is>
          <t>Any project member can trigger a phase, whatever their role</t>
        </is>
      </c>
      <c r="D130" s="6" t="inlineStr">
        <is>
          <t>Permission</t>
        </is>
      </c>
      <c r="E130" s="6" t="inlineStr">
        <is>
          <t>High</t>
        </is>
      </c>
      <c r="F130" s="6" t="inlineStr">
        <is>
          <t>/runs</t>
        </is>
      </c>
      <c r="G130" s="6" t="inlineStr">
        <is>
          <t>P10 Engineer</t>
        </is>
      </c>
      <c r="H130" s="6" t="inlineStr">
        <is>
          <t>No</t>
        </is>
      </c>
      <c r="I130" s="6" t="inlineStr">
        <is>
          <t>C</t>
        </is>
      </c>
      <c r="J130" s="6" t="inlineStr">
        <is>
          <t>Not Run</t>
        </is>
      </c>
      <c r="K130" s="6" t="n"/>
      <c r="L130" s="6" t="n"/>
      <c r="M130" s="6" t="n"/>
      <c r="N130" s="6" t="n"/>
      <c r="O130" s="6" t="n"/>
      <c r="P130" s="6" t="n"/>
    </row>
    <row r="131">
      <c r="A131" s="6" t="inlineStr">
        <is>
          <t>TC-705</t>
        </is>
      </c>
      <c r="B131" s="6" t="inlineStr">
        <is>
          <t>TS-07</t>
        </is>
      </c>
      <c r="C131" s="6" t="inlineStr">
        <is>
          <t>Any project member can take over a parked run</t>
        </is>
      </c>
      <c r="D131" s="6" t="inlineStr">
        <is>
          <t>Permission</t>
        </is>
      </c>
      <c r="E131" s="6" t="inlineStr">
        <is>
          <t>Medium</t>
        </is>
      </c>
      <c r="F131" s="6" t="inlineStr">
        <is>
          <t>/recovery</t>
        </is>
      </c>
      <c r="G131" s="6" t="inlineStr">
        <is>
          <t>P10 Engineer</t>
        </is>
      </c>
      <c r="H131" s="6" t="inlineStr">
        <is>
          <t>No</t>
        </is>
      </c>
      <c r="I131" s="6" t="inlineStr">
        <is>
          <t>C</t>
        </is>
      </c>
      <c r="J131" s="6" t="inlineStr">
        <is>
          <t>Not Run</t>
        </is>
      </c>
      <c r="K131" s="6" t="n"/>
      <c r="L131" s="6" t="n"/>
      <c r="M131" s="6" t="n"/>
      <c r="N131" s="6" t="n"/>
      <c r="O131" s="6" t="n"/>
      <c r="P131" s="6" t="n"/>
    </row>
    <row r="132">
      <c r="A132" s="6" t="inlineStr">
        <is>
          <t>TC-113</t>
        </is>
      </c>
      <c r="B132" s="6" t="inlineStr">
        <is>
          <t>TS-08</t>
        </is>
      </c>
      <c r="C132" s="6" t="inlineStr">
        <is>
          <t>A paused run shows Needs answer in the console</t>
        </is>
      </c>
      <c r="D132" s="6" t="inlineStr">
        <is>
          <t>Functional</t>
        </is>
      </c>
      <c r="E132" s="6" t="inlineStr">
        <is>
          <t>Critical</t>
        </is>
      </c>
      <c r="F132" s="6" t="inlineStr">
        <is>
          <t>/runs/:id</t>
        </is>
      </c>
      <c r="G132" s="6" t="inlineStr">
        <is>
          <t>P1 Owner-Admin</t>
        </is>
      </c>
      <c r="H132" s="6" t="inlineStr">
        <is>
          <t>No</t>
        </is>
      </c>
      <c r="I132" s="6" t="inlineStr">
        <is>
          <t>C</t>
        </is>
      </c>
      <c r="J132" s="6" t="inlineStr">
        <is>
          <t>Not Run</t>
        </is>
      </c>
      <c r="K132" s="6" t="n"/>
      <c r="L132" s="6" t="n"/>
      <c r="M132" s="6" t="n"/>
      <c r="N132" s="6" t="n"/>
      <c r="O132" s="6" t="n"/>
      <c r="P132" s="6" t="n"/>
    </row>
    <row r="133">
      <c r="A133" s="6" t="inlineStr">
        <is>
          <t>TC-114</t>
        </is>
      </c>
      <c r="B133" s="6" t="inlineStr">
        <is>
          <t>TS-08</t>
        </is>
      </c>
      <c r="C133" s="6" t="inlineStr">
        <is>
          <t>The sidebar Clarifications count increments</t>
        </is>
      </c>
      <c r="D133" s="6" t="inlineStr">
        <is>
          <t>UX</t>
        </is>
      </c>
      <c r="E133" s="6" t="inlineStr">
        <is>
          <t>Medium</t>
        </is>
      </c>
      <c r="F133" s="6" t="inlineStr">
        <is>
          <t>any screen (app shell)</t>
        </is>
      </c>
      <c r="G133" s="6" t="inlineStr">
        <is>
          <t>P1 Owner-Admin</t>
        </is>
      </c>
      <c r="H133" s="6" t="inlineStr">
        <is>
          <t>No</t>
        </is>
      </c>
      <c r="I133" s="6" t="inlineStr">
        <is>
          <t>C</t>
        </is>
      </c>
      <c r="J133" s="6" t="inlineStr">
        <is>
          <t>Not Run</t>
        </is>
      </c>
      <c r="K133" s="6" t="n"/>
      <c r="L133" s="6" t="n"/>
      <c r="M133" s="6" t="n"/>
      <c r="N133" s="6" t="n"/>
      <c r="O133" s="6" t="n"/>
      <c r="P133" s="6" t="n"/>
    </row>
    <row r="134">
      <c r="A134" s="6" t="inlineStr">
        <is>
          <t>TC-115</t>
        </is>
      </c>
      <c r="B134" s="6" t="inlineStr">
        <is>
          <t>TS-08</t>
        </is>
      </c>
      <c r="C134" s="6" t="inlineStr">
        <is>
          <t>The question renders on /clarifications under its tier</t>
        </is>
      </c>
      <c r="D134" s="6" t="inlineStr">
        <is>
          <t>Functional</t>
        </is>
      </c>
      <c r="E134" s="6" t="inlineStr">
        <is>
          <t>Critical</t>
        </is>
      </c>
      <c r="F134" s="6" t="inlineStr">
        <is>
          <t>/clarifications</t>
        </is>
      </c>
      <c r="G134" s="6" t="inlineStr">
        <is>
          <t>P1 Owner-Admin</t>
        </is>
      </c>
      <c r="H134" s="6" t="inlineStr">
        <is>
          <t>No</t>
        </is>
      </c>
      <c r="I134" s="6" t="inlineStr">
        <is>
          <t>C</t>
        </is>
      </c>
      <c r="J134" s="6" t="inlineStr">
        <is>
          <t>Not Run</t>
        </is>
      </c>
      <c r="K134" s="6" t="n"/>
      <c r="L134" s="6" t="n"/>
      <c r="M134" s="6" t="n"/>
      <c r="N134" s="6" t="n"/>
      <c r="O134" s="6" t="n"/>
      <c r="P134" s="6" t="n"/>
    </row>
    <row r="135">
      <c r="A135" s="6" t="inlineStr">
        <is>
          <t>TC-116</t>
        </is>
      </c>
      <c r="B135" s="6" t="inlineStr">
        <is>
          <t>TS-08</t>
        </is>
      </c>
      <c r="C135" s="6" t="inlineStr">
        <is>
          <t>Answering the question resumes the same run</t>
        </is>
      </c>
      <c r="D135" s="6" t="inlineStr">
        <is>
          <t>E2E</t>
        </is>
      </c>
      <c r="E135" s="6" t="inlineStr">
        <is>
          <t>Critical</t>
        </is>
      </c>
      <c r="F135" s="6" t="inlineStr">
        <is>
          <t>/clarifications · /runs/:id</t>
        </is>
      </c>
      <c r="G135" s="6" t="inlineStr">
        <is>
          <t>P1 Owner-Admin</t>
        </is>
      </c>
      <c r="H135" s="6" t="inlineStr">
        <is>
          <t>No</t>
        </is>
      </c>
      <c r="I135" s="6" t="inlineStr">
        <is>
          <t>C</t>
        </is>
      </c>
      <c r="J135" s="6" t="inlineStr">
        <is>
          <t>Not Run</t>
        </is>
      </c>
      <c r="K135" s="6" t="n"/>
      <c r="L135" s="6" t="n"/>
      <c r="M135" s="6" t="n"/>
      <c r="N135" s="6" t="n"/>
      <c r="O135" s="6" t="n"/>
      <c r="P135" s="6" t="n"/>
    </row>
    <row r="136">
      <c r="A136" s="6" t="inlineStr">
        <is>
          <t>TC-117</t>
        </is>
      </c>
      <c r="B136" s="6" t="inlineStr">
        <is>
          <t>TS-08</t>
        </is>
      </c>
      <c r="C136" s="6" t="inlineStr">
        <is>
          <t>Each question kind renders the right input</t>
        </is>
      </c>
      <c r="D136" s="6" t="inlineStr">
        <is>
          <t>UX</t>
        </is>
      </c>
      <c r="E136" s="6" t="inlineStr">
        <is>
          <t>High</t>
        </is>
      </c>
      <c r="F136" s="6" t="inlineStr">
        <is>
          <t>/clarifications</t>
        </is>
      </c>
      <c r="G136" s="6" t="inlineStr">
        <is>
          <t>P1 Owner-Admin</t>
        </is>
      </c>
      <c r="H136" s="6" t="inlineStr">
        <is>
          <t>No</t>
        </is>
      </c>
      <c r="I136" s="6" t="inlineStr">
        <is>
          <t>C</t>
        </is>
      </c>
      <c r="J136" s="6" t="inlineStr">
        <is>
          <t>Not Run</t>
        </is>
      </c>
      <c r="K136" s="6" t="n"/>
      <c r="L136" s="6" t="n"/>
      <c r="M136" s="6" t="n"/>
      <c r="N136" s="6" t="n"/>
      <c r="O136" s="6" t="n"/>
      <c r="P136" s="6" t="n"/>
    </row>
    <row r="137">
      <c r="A137" s="6" t="inlineStr">
        <is>
          <t>TC-118</t>
        </is>
      </c>
      <c r="B137" s="6" t="inlineStr">
        <is>
          <t>TS-08</t>
        </is>
      </c>
      <c r="C137" s="6" t="inlineStr">
        <is>
          <t>A blank required question blocks submission</t>
        </is>
      </c>
      <c r="D137" s="6" t="inlineStr">
        <is>
          <t>Negative</t>
        </is>
      </c>
      <c r="E137" s="6" t="inlineStr">
        <is>
          <t>High</t>
        </is>
      </c>
      <c r="F137" s="6" t="inlineStr">
        <is>
          <t>/clarifications</t>
        </is>
      </c>
      <c r="G137" s="6" t="inlineStr">
        <is>
          <t>P1 Owner-Admin</t>
        </is>
      </c>
      <c r="H137" s="6" t="inlineStr">
        <is>
          <t>No</t>
        </is>
      </c>
      <c r="I137" s="6" t="inlineStr">
        <is>
          <t>C</t>
        </is>
      </c>
      <c r="J137" s="6" t="inlineStr">
        <is>
          <t>Not Run</t>
        </is>
      </c>
      <c r="K137" s="6" t="n"/>
      <c r="L137" s="6" t="n"/>
      <c r="M137" s="6" t="n"/>
      <c r="N137" s="6" t="n"/>
      <c r="O137" s="6" t="n"/>
      <c r="P137" s="6" t="n"/>
    </row>
    <row r="138">
      <c r="A138" s="6" t="inlineStr">
        <is>
          <t>TC-119</t>
        </is>
      </c>
      <c r="B138" s="6" t="inlineStr">
        <is>
          <t>TS-08</t>
        </is>
      </c>
      <c r="C138" s="6" t="inlineStr">
        <is>
          <t>Accept all suggestions &amp; inferences fills the Tier 2/3 answers</t>
        </is>
      </c>
      <c r="D138" s="6" t="inlineStr">
        <is>
          <t>Functional</t>
        </is>
      </c>
      <c r="E138" s="6" t="inlineStr">
        <is>
          <t>Medium</t>
        </is>
      </c>
      <c r="F138" s="6" t="inlineStr">
        <is>
          <t>/clarifications</t>
        </is>
      </c>
      <c r="G138" s="6" t="inlineStr">
        <is>
          <t>P1 Owner-Admin</t>
        </is>
      </c>
      <c r="H138" s="6" t="inlineStr">
        <is>
          <t>No</t>
        </is>
      </c>
      <c r="I138" s="6" t="inlineStr">
        <is>
          <t>C</t>
        </is>
      </c>
      <c r="J138" s="6" t="inlineStr">
        <is>
          <t>Not Run</t>
        </is>
      </c>
      <c r="K138" s="6" t="n"/>
      <c r="L138" s="6" t="n"/>
      <c r="M138" s="6" t="n"/>
      <c r="N138" s="6" t="n"/>
      <c r="O138" s="6" t="n"/>
      <c r="P138" s="6" t="n"/>
    </row>
    <row r="139">
      <c r="A139" s="6" t="inlineStr">
        <is>
          <t>TC-120</t>
        </is>
      </c>
      <c r="B139" s="6" t="inlineStr">
        <is>
          <t>TS-08</t>
        </is>
      </c>
      <c r="C139" s="6" t="inlineStr">
        <is>
          <t>The answered confirmation names the work item and says the run resumed</t>
        </is>
      </c>
      <c r="D139" s="6" t="inlineStr">
        <is>
          <t>UX</t>
        </is>
      </c>
      <c r="E139" s="6" t="inlineStr">
        <is>
          <t>Medium</t>
        </is>
      </c>
      <c r="F139" s="6" t="inlineStr">
        <is>
          <t>/clarifications</t>
        </is>
      </c>
      <c r="G139" s="6" t="inlineStr">
        <is>
          <t>P1 Owner-Admin</t>
        </is>
      </c>
      <c r="H139" s="6" t="inlineStr">
        <is>
          <t>No</t>
        </is>
      </c>
      <c r="I139" s="6" t="inlineStr">
        <is>
          <t>C</t>
        </is>
      </c>
      <c r="J139" s="6" t="inlineStr">
        <is>
          <t>Not Run</t>
        </is>
      </c>
      <c r="K139" s="6" t="n"/>
      <c r="L139" s="6" t="n"/>
      <c r="M139" s="6" t="n"/>
      <c r="N139" s="6" t="n"/>
      <c r="O139" s="6" t="n"/>
      <c r="P139" s="6" t="n"/>
    </row>
    <row r="140">
      <c r="A140" s="6" t="inlineStr">
        <is>
          <t>TC-121</t>
        </is>
      </c>
      <c r="B140" s="6" t="inlineStr">
        <is>
          <t>TS-08</t>
        </is>
      </c>
      <c r="C140" s="6" t="inlineStr">
        <is>
          <t>A user with no membership on the project cannot answer</t>
        </is>
      </c>
      <c r="D140" s="6" t="inlineStr">
        <is>
          <t>Permission</t>
        </is>
      </c>
      <c r="E140" s="6" t="inlineStr">
        <is>
          <t>High</t>
        </is>
      </c>
      <c r="F140" s="6" t="inlineStr">
        <is>
          <t>/clarifications</t>
        </is>
      </c>
      <c r="G140" s="6" t="inlineStr">
        <is>
          <t>Any (a non-member account)</t>
        </is>
      </c>
      <c r="H140" s="6" t="inlineStr">
        <is>
          <t>No</t>
        </is>
      </c>
      <c r="I140" s="6" t="inlineStr">
        <is>
          <t>C</t>
        </is>
      </c>
      <c r="J140" s="6" t="inlineStr">
        <is>
          <t>Not Run</t>
        </is>
      </c>
      <c r="K140" s="6" t="n"/>
      <c r="L140" s="6" t="n"/>
      <c r="M140" s="6" t="n"/>
      <c r="N140" s="6" t="n"/>
      <c r="O140" s="6" t="n"/>
      <c r="P140" s="6" t="n"/>
    </row>
    <row r="141">
      <c r="A141" s="6" t="inlineStr">
        <is>
          <t>TC-122</t>
        </is>
      </c>
      <c r="B141" s="6" t="inlineStr">
        <is>
          <t>TS-08</t>
        </is>
      </c>
      <c r="C141" s="6" t="inlineStr">
        <is>
          <t>The Clarifications empty state</t>
        </is>
      </c>
      <c r="D141" s="6" t="inlineStr">
        <is>
          <t>UX</t>
        </is>
      </c>
      <c r="E141" s="6" t="inlineStr">
        <is>
          <t>Low</t>
        </is>
      </c>
      <c r="F141" s="6" t="inlineStr">
        <is>
          <t>/clarifications</t>
        </is>
      </c>
      <c r="G141" s="6" t="inlineStr">
        <is>
          <t>P1 Owner-Admin</t>
        </is>
      </c>
      <c r="H141" s="6" t="inlineStr">
        <is>
          <t>Yes</t>
        </is>
      </c>
      <c r="I141" s="6" t="inlineStr">
        <is>
          <t>C</t>
        </is>
      </c>
      <c r="J141" s="6" t="inlineStr">
        <is>
          <t>Not Run</t>
        </is>
      </c>
      <c r="K141" s="6" t="n"/>
      <c r="L141" s="6" t="n"/>
      <c r="M141" s="6" t="n"/>
      <c r="N141" s="6" t="n"/>
      <c r="O141" s="6" t="n"/>
      <c r="P141" s="6" t="n"/>
    </row>
    <row r="142">
      <c r="A142" s="6" t="inlineStr">
        <is>
          <t>TC-801</t>
        </is>
      </c>
      <c r="B142" s="6" t="inlineStr">
        <is>
          <t>TS-08</t>
        </is>
      </c>
      <c r="C142" s="6" t="inlineStr">
        <is>
          <t>With two questions outstanding, only the first is on screen</t>
        </is>
      </c>
      <c r="D142" s="6" t="inlineStr">
        <is>
          <t>Functional</t>
        </is>
      </c>
      <c r="E142" s="6" t="inlineStr">
        <is>
          <t>High</t>
        </is>
      </c>
      <c r="F142" s="6" t="inlineStr">
        <is>
          <t>/clarifications</t>
        </is>
      </c>
      <c r="G142" s="6" t="inlineStr">
        <is>
          <t>P1 Owner-Admin</t>
        </is>
      </c>
      <c r="H142" s="6" t="inlineStr">
        <is>
          <t>No</t>
        </is>
      </c>
      <c r="I142" s="6" t="inlineStr">
        <is>
          <t>C</t>
        </is>
      </c>
      <c r="J142" s="6" t="inlineStr">
        <is>
          <t>Not Run</t>
        </is>
      </c>
      <c r="K142" s="6" t="n"/>
      <c r="L142" s="6" t="n"/>
      <c r="M142" s="6" t="n"/>
      <c r="N142" s="6" t="n"/>
      <c r="O142" s="6" t="n"/>
      <c r="P142" s="6" t="n"/>
    </row>
    <row r="143">
      <c r="A143" s="6" t="inlineStr">
        <is>
          <t>TC-123</t>
        </is>
      </c>
      <c r="B143" s="6" t="inlineStr">
        <is>
          <t>TS-09</t>
        </is>
      </c>
      <c r="C143" s="6" t="inlineStr">
        <is>
          <t>A completed run opens a gate and surfaces it everywhere</t>
        </is>
      </c>
      <c r="D143" s="6" t="inlineStr">
        <is>
          <t>Functional</t>
        </is>
      </c>
      <c r="E143" s="6" t="inlineStr">
        <is>
          <t>Critical</t>
        </is>
      </c>
      <c r="F143" s="6" t="inlineStr">
        <is>
          <t>/runs/:id · /gates · / (dashboard)</t>
        </is>
      </c>
      <c r="G143" s="6" t="inlineStr">
        <is>
          <t>P1 Owner-Admin</t>
        </is>
      </c>
      <c r="H143" s="6" t="inlineStr">
        <is>
          <t>No</t>
        </is>
      </c>
      <c r="I143" s="6" t="inlineStr">
        <is>
          <t>C</t>
        </is>
      </c>
      <c r="J143" s="6" t="inlineStr">
        <is>
          <t>Not Run</t>
        </is>
      </c>
      <c r="K143" s="6" t="n"/>
      <c r="L143" s="6" t="n"/>
      <c r="M143" s="6" t="n"/>
      <c r="N143" s="6" t="n"/>
      <c r="O143" s="6" t="n"/>
      <c r="P143" s="6" t="n"/>
    </row>
    <row r="144">
      <c r="A144" s="6" t="inlineStr">
        <is>
          <t>TC-124</t>
        </is>
      </c>
      <c r="B144" s="6" t="inlineStr">
        <is>
          <t>TS-09</t>
        </is>
      </c>
      <c r="C144" s="6" t="inlineStr">
        <is>
          <t>The Gates empty state</t>
        </is>
      </c>
      <c r="D144" s="6" t="inlineStr">
        <is>
          <t>UX</t>
        </is>
      </c>
      <c r="E144" s="6" t="inlineStr">
        <is>
          <t>Medium</t>
        </is>
      </c>
      <c r="F144" s="6" t="inlineStr">
        <is>
          <t>/gates</t>
        </is>
      </c>
      <c r="G144" s="6" t="inlineStr">
        <is>
          <t>P1 Owner-Admin</t>
        </is>
      </c>
      <c r="H144" s="6" t="inlineStr">
        <is>
          <t>Yes</t>
        </is>
      </c>
      <c r="I144" s="6" t="inlineStr">
        <is>
          <t>C</t>
        </is>
      </c>
      <c r="J144" s="6" t="inlineStr">
        <is>
          <t>Not Run</t>
        </is>
      </c>
      <c r="K144" s="6" t="n"/>
      <c r="L144" s="6" t="n"/>
      <c r="M144" s="6" t="n"/>
      <c r="N144" s="6" t="n"/>
      <c r="O144" s="6" t="n"/>
      <c r="P144" s="6" t="n"/>
    </row>
    <row r="145">
      <c r="A145" s="6" t="inlineStr">
        <is>
          <t>TC-125</t>
        </is>
      </c>
      <c r="B145" s="6" t="inlineStr">
        <is>
          <t>TS-09</t>
        </is>
      </c>
      <c r="C145" s="6" t="inlineStr">
        <is>
          <t>The pending approvals table columns</t>
        </is>
      </c>
      <c r="D145" s="6" t="inlineStr">
        <is>
          <t>UX</t>
        </is>
      </c>
      <c r="E145" s="6" t="inlineStr">
        <is>
          <t>High</t>
        </is>
      </c>
      <c r="F145" s="6" t="inlineStr">
        <is>
          <t>/gates</t>
        </is>
      </c>
      <c r="G145" s="6" t="inlineStr">
        <is>
          <t>P1 Owner-Admin</t>
        </is>
      </c>
      <c r="H145" s="6" t="inlineStr">
        <is>
          <t>No</t>
        </is>
      </c>
      <c r="I145" s="6" t="inlineStr">
        <is>
          <t>C</t>
        </is>
      </c>
      <c r="J145" s="6" t="inlineStr">
        <is>
          <t>Not Run</t>
        </is>
      </c>
      <c r="K145" s="6" t="n"/>
      <c r="L145" s="6" t="n"/>
      <c r="M145" s="6" t="n"/>
      <c r="N145" s="6" t="n"/>
      <c r="O145" s="6" t="n"/>
      <c r="P145" s="6" t="n"/>
    </row>
    <row r="146">
      <c r="A146" s="6" t="inlineStr">
        <is>
          <t>TC-126</t>
        </is>
      </c>
      <c r="B146" s="6" t="inlineStr">
        <is>
          <t>TS-09</t>
        </is>
      </c>
      <c r="C146" s="6" t="inlineStr">
        <is>
          <t>The decision card renders for the role holder</t>
        </is>
      </c>
      <c r="D146" s="6" t="inlineStr">
        <is>
          <t>Functional</t>
        </is>
      </c>
      <c r="E146" s="6" t="inlineStr">
        <is>
          <t>Critical</t>
        </is>
      </c>
      <c r="F146" s="6" t="inlineStr">
        <is>
          <t>/gates</t>
        </is>
      </c>
      <c r="G146" s="6" t="inlineStr">
        <is>
          <t>P2 Product Owner</t>
        </is>
      </c>
      <c r="H146" s="6" t="inlineStr">
        <is>
          <t>No</t>
        </is>
      </c>
      <c r="I146" s="6" t="inlineStr">
        <is>
          <t>C</t>
        </is>
      </c>
      <c r="J146" s="6" t="inlineStr">
        <is>
          <t>Not Run</t>
        </is>
      </c>
      <c r="K146" s="6" t="n"/>
      <c r="L146" s="6" t="n"/>
      <c r="M146" s="6" t="n"/>
      <c r="N146" s="6" t="n"/>
      <c r="O146" s="6" t="n"/>
      <c r="P146" s="6" t="n"/>
    </row>
    <row r="147">
      <c r="A147" s="6" t="inlineStr">
        <is>
          <t>TC-127</t>
        </is>
      </c>
      <c r="B147" s="6" t="inlineStr">
        <is>
          <t>TS-09</t>
        </is>
      </c>
      <c r="C147" s="6" t="inlineStr">
        <is>
          <t>Approving with a comment resumes the run to completion</t>
        </is>
      </c>
      <c r="D147" s="6" t="inlineStr">
        <is>
          <t>E2E</t>
        </is>
      </c>
      <c r="E147" s="6" t="inlineStr">
        <is>
          <t>Critical</t>
        </is>
      </c>
      <c r="F147" s="6" t="inlineStr">
        <is>
          <t>/gates · /runs/:id</t>
        </is>
      </c>
      <c r="G147" s="6" t="inlineStr">
        <is>
          <t>P2 Product Owner</t>
        </is>
      </c>
      <c r="H147" s="6" t="inlineStr">
        <is>
          <t>No</t>
        </is>
      </c>
      <c r="I147" s="6" t="inlineStr">
        <is>
          <t>C</t>
        </is>
      </c>
      <c r="J147" s="6" t="inlineStr">
        <is>
          <t>Not Run</t>
        </is>
      </c>
      <c r="K147" s="6" t="n"/>
      <c r="L147" s="6" t="n"/>
      <c r="M147" s="6" t="n"/>
      <c r="N147" s="6" t="n"/>
      <c r="O147" s="6" t="n"/>
      <c r="P147" s="6" t="n"/>
    </row>
    <row r="148">
      <c r="A148" s="6" t="inlineStr">
        <is>
          <t>TC-128</t>
        </is>
      </c>
      <c r="B148" s="6" t="inlineStr">
        <is>
          <t>TS-09</t>
        </is>
      </c>
      <c r="C148" s="6" t="inlineStr">
        <is>
          <t>The artifact stops being a draft only once its gate is approved</t>
        </is>
      </c>
      <c r="D148" s="6" t="inlineStr">
        <is>
          <t>Functional</t>
        </is>
      </c>
      <c r="E148" s="6" t="inlineStr">
        <is>
          <t>Critical</t>
        </is>
      </c>
      <c r="F148" s="6" t="inlineStr">
        <is>
          <t>/artifacts</t>
        </is>
      </c>
      <c r="G148" s="6" t="inlineStr">
        <is>
          <t>P1 Owner-Admin</t>
        </is>
      </c>
      <c r="H148" s="6" t="inlineStr">
        <is>
          <t>No</t>
        </is>
      </c>
      <c r="I148" s="6" t="inlineStr">
        <is>
          <t>C</t>
        </is>
      </c>
      <c r="J148" s="6" t="inlineStr">
        <is>
          <t>Not Run</t>
        </is>
      </c>
      <c r="K148" s="6" t="n"/>
      <c r="L148" s="6" t="n"/>
      <c r="M148" s="6" t="n"/>
      <c r="N148" s="6" t="n"/>
      <c r="O148" s="6" t="n"/>
      <c r="P148" s="6" t="n"/>
    </row>
    <row r="149">
      <c r="A149" s="6" t="inlineStr">
        <is>
          <t>TC-129</t>
        </is>
      </c>
      <c r="B149" s="6" t="inlineStr">
        <is>
          <t>TS-09</t>
        </is>
      </c>
      <c r="C149" s="6" t="inlineStr">
        <is>
          <t>Wrong role gets a read-only card — PRD gate (Product Owner)</t>
        </is>
      </c>
      <c r="D149" s="6" t="inlineStr">
        <is>
          <t>Permission</t>
        </is>
      </c>
      <c r="E149" s="6" t="inlineStr">
        <is>
          <t>Critical</t>
        </is>
      </c>
      <c r="F149" s="6" t="inlineStr">
        <is>
          <t>/gates</t>
        </is>
      </c>
      <c r="G149" s="6" t="inlineStr">
        <is>
          <t>P10 Engineer</t>
        </is>
      </c>
      <c r="H149" s="6" t="inlineStr">
        <is>
          <t>No</t>
        </is>
      </c>
      <c r="I149" s="6" t="inlineStr">
        <is>
          <t>C</t>
        </is>
      </c>
      <c r="J149" s="6" t="inlineStr">
        <is>
          <t>Not Run</t>
        </is>
      </c>
      <c r="K149" s="6" t="n"/>
      <c r="L149" s="6" t="n"/>
      <c r="M149" s="6" t="n"/>
      <c r="N149" s="6" t="n"/>
      <c r="O149" s="6" t="n"/>
      <c r="P149" s="6" t="n"/>
    </row>
    <row r="150">
      <c r="A150" s="6" t="inlineStr">
        <is>
          <t>TC-130</t>
        </is>
      </c>
      <c r="B150" s="6" t="inlineStr">
        <is>
          <t>TS-09</t>
        </is>
      </c>
      <c r="C150" s="6" t="inlineStr">
        <is>
          <t>Wrong role gets a read-only card — Architecture gate (Architect)</t>
        </is>
      </c>
      <c r="D150" s="6" t="inlineStr">
        <is>
          <t>Permission</t>
        </is>
      </c>
      <c r="E150" s="6" t="inlineStr">
        <is>
          <t>Critical</t>
        </is>
      </c>
      <c r="F150" s="6" t="inlineStr">
        <is>
          <t>/gates</t>
        </is>
      </c>
      <c r="G150" s="6" t="inlineStr">
        <is>
          <t>P2 Product Owner</t>
        </is>
      </c>
      <c r="H150" s="6" t="inlineStr">
        <is>
          <t>No</t>
        </is>
      </c>
      <c r="I150" s="6" t="inlineStr">
        <is>
          <t>C</t>
        </is>
      </c>
      <c r="J150" s="6" t="inlineStr">
        <is>
          <t>Not Run</t>
        </is>
      </c>
      <c r="K150" s="6" t="n"/>
      <c r="L150" s="6" t="n"/>
      <c r="M150" s="6" t="n"/>
      <c r="N150" s="6" t="n"/>
      <c r="O150" s="6" t="n"/>
      <c r="P150" s="6" t="n"/>
    </row>
    <row r="151">
      <c r="A151" s="6" t="inlineStr">
        <is>
          <t>TC-131</t>
        </is>
      </c>
      <c r="B151" s="6" t="inlineStr">
        <is>
          <t>TS-09</t>
        </is>
      </c>
      <c r="C151" s="6" t="inlineStr">
        <is>
          <t>A tenant admin can decide any gate</t>
        </is>
      </c>
      <c r="D151" s="6" t="inlineStr">
        <is>
          <t>Permission</t>
        </is>
      </c>
      <c r="E151" s="6" t="inlineStr">
        <is>
          <t>High</t>
        </is>
      </c>
      <c r="F151" s="6" t="inlineStr">
        <is>
          <t>/gates</t>
        </is>
      </c>
      <c r="G151" s="6" t="inlineStr">
        <is>
          <t>P1 Owner-Admin</t>
        </is>
      </c>
      <c r="H151" s="6" t="inlineStr">
        <is>
          <t>No</t>
        </is>
      </c>
      <c r="I151" s="6" t="inlineStr">
        <is>
          <t>C</t>
        </is>
      </c>
      <c r="J151" s="6" t="inlineStr">
        <is>
          <t>Not Run</t>
        </is>
      </c>
      <c r="K151" s="6" t="n"/>
      <c r="L151" s="6" t="n"/>
      <c r="M151" s="6" t="n"/>
      <c r="N151" s="6" t="n"/>
      <c r="O151" s="6" t="n"/>
      <c r="P151" s="6" t="n"/>
    </row>
    <row r="152">
      <c r="A152" s="6" t="inlineStr">
        <is>
          <t>TC-132</t>
        </is>
      </c>
      <c r="B152" s="6" t="inlineStr">
        <is>
          <t>TS-09</t>
        </is>
      </c>
      <c r="C152" s="6" t="inlineStr">
        <is>
          <t>A project admin is shown the read-only card for another role's gate</t>
        </is>
      </c>
      <c r="D152" s="6" t="inlineStr">
        <is>
          <t>Permission</t>
        </is>
      </c>
      <c r="E152" s="6" t="inlineStr">
        <is>
          <t>High</t>
        </is>
      </c>
      <c r="F152" s="6" t="inlineStr">
        <is>
          <t>/gates</t>
        </is>
      </c>
      <c r="G152" s="6" t="inlineStr">
        <is>
          <t>Any (a project-admin account that is not a tenant admin)</t>
        </is>
      </c>
      <c r="H152" s="6" t="inlineStr">
        <is>
          <t>No</t>
        </is>
      </c>
      <c r="I152" s="6" t="inlineStr">
        <is>
          <t>C</t>
        </is>
      </c>
      <c r="J152" s="6" t="inlineStr">
        <is>
          <t>Not Run</t>
        </is>
      </c>
      <c r="K152" s="6" t="n"/>
      <c r="L152" s="6" t="n"/>
      <c r="M152" s="6" t="n"/>
      <c r="N152" s="6" t="n"/>
      <c r="O152" s="6" t="n"/>
      <c r="P152" s="6" t="n"/>
    </row>
    <row r="153">
      <c r="A153" s="6" t="inlineStr">
        <is>
          <t>TC-133</t>
        </is>
      </c>
      <c r="B153" s="6" t="inlineStr">
        <is>
          <t>TS-09</t>
        </is>
      </c>
      <c r="C153" s="6" t="inlineStr">
        <is>
          <t>Rejecting a gate with a comment fails the run</t>
        </is>
      </c>
      <c r="D153" s="6" t="inlineStr">
        <is>
          <t>Functional</t>
        </is>
      </c>
      <c r="E153" s="6" t="inlineStr">
        <is>
          <t>Critical</t>
        </is>
      </c>
      <c r="F153" s="6" t="inlineStr">
        <is>
          <t>/gates · /runs/:id</t>
        </is>
      </c>
      <c r="G153" s="6" t="inlineStr">
        <is>
          <t>P2 Product Owner</t>
        </is>
      </c>
      <c r="H153" s="6" t="inlineStr">
        <is>
          <t>No</t>
        </is>
      </c>
      <c r="I153" s="6" t="inlineStr">
        <is>
          <t>C</t>
        </is>
      </c>
      <c r="J153" s="6" t="inlineStr">
        <is>
          <t>Not Run</t>
        </is>
      </c>
      <c r="K153" s="6" t="n"/>
      <c r="L153" s="6" t="n"/>
      <c r="M153" s="6" t="n"/>
      <c r="N153" s="6" t="n"/>
      <c r="O153" s="6" t="n"/>
      <c r="P153" s="6" t="n"/>
    </row>
    <row r="154">
      <c r="A154" s="6" t="inlineStr">
        <is>
          <t>TC-134</t>
        </is>
      </c>
      <c r="B154" s="6" t="inlineStr">
        <is>
          <t>TS-09</t>
        </is>
      </c>
      <c r="C154" s="6" t="inlineStr">
        <is>
          <t>After a rejection the work item is still workable and re-triggering makes a new run</t>
        </is>
      </c>
      <c r="D154" s="6" t="inlineStr">
        <is>
          <t>E2E</t>
        </is>
      </c>
      <c r="E154" s="6" t="inlineStr">
        <is>
          <t>Critical</t>
        </is>
      </c>
      <c r="F154" s="6" t="inlineStr">
        <is>
          <t>/runs · /work-items</t>
        </is>
      </c>
      <c r="G154" s="6" t="inlineStr">
        <is>
          <t>P1 Owner-Admin</t>
        </is>
      </c>
      <c r="H154" s="6" t="inlineStr">
        <is>
          <t>No</t>
        </is>
      </c>
      <c r="I154" s="6" t="inlineStr">
        <is>
          <t>C</t>
        </is>
      </c>
      <c r="J154" s="6" t="inlineStr">
        <is>
          <t>Not Run</t>
        </is>
      </c>
      <c r="K154" s="6" t="n"/>
      <c r="L154" s="6" t="n"/>
      <c r="M154" s="6" t="n"/>
      <c r="N154" s="6" t="n"/>
      <c r="O154" s="6" t="n"/>
      <c r="P154" s="6" t="n"/>
    </row>
    <row r="155">
      <c r="A155" s="6" t="inlineStr">
        <is>
          <t>TC-135</t>
        </is>
      </c>
      <c r="B155" s="6" t="inlineStr">
        <is>
          <t>TS-09</t>
        </is>
      </c>
      <c r="C155" s="6" t="inlineStr">
        <is>
          <t>An already-decided gate cannot be decided again</t>
        </is>
      </c>
      <c r="D155" s="6" t="inlineStr">
        <is>
          <t>Negative</t>
        </is>
      </c>
      <c r="E155" s="6" t="inlineStr">
        <is>
          <t>High</t>
        </is>
      </c>
      <c r="F155" s="6" t="inlineStr">
        <is>
          <t>/gates</t>
        </is>
      </c>
      <c r="G155" s="6" t="inlineStr">
        <is>
          <t>P2 Product Owner</t>
        </is>
      </c>
      <c r="H155" s="6" t="inlineStr">
        <is>
          <t>No</t>
        </is>
      </c>
      <c r="I155" s="6" t="inlineStr">
        <is>
          <t>C</t>
        </is>
      </c>
      <c r="J155" s="6" t="inlineStr">
        <is>
          <t>Not Run</t>
        </is>
      </c>
      <c r="K155" s="6" t="n"/>
      <c r="L155" s="6" t="n"/>
      <c r="M155" s="6" t="n"/>
      <c r="N155" s="6" t="n"/>
      <c r="O155" s="6" t="n"/>
      <c r="P155" s="6" t="n"/>
    </row>
    <row r="156">
      <c r="A156" s="6" t="inlineStr">
        <is>
          <t>TC-136</t>
        </is>
      </c>
      <c r="B156" s="6" t="inlineStr">
        <is>
          <t>TS-09</t>
        </is>
      </c>
      <c r="C156" s="6" t="inlineStr">
        <is>
          <t>The Decided history tab</t>
        </is>
      </c>
      <c r="D156" s="6" t="inlineStr">
        <is>
          <t>UX</t>
        </is>
      </c>
      <c r="E156" s="6" t="inlineStr">
        <is>
          <t>Medium</t>
        </is>
      </c>
      <c r="F156" s="6" t="inlineStr">
        <is>
          <t>/gates</t>
        </is>
      </c>
      <c r="G156" s="6" t="inlineStr">
        <is>
          <t>P2 Product Owner</t>
        </is>
      </c>
      <c r="H156" s="6" t="inlineStr">
        <is>
          <t>No</t>
        </is>
      </c>
      <c r="I156" s="6" t="inlineStr">
        <is>
          <t>C</t>
        </is>
      </c>
      <c r="J156" s="6" t="inlineStr">
        <is>
          <t>Not Run</t>
        </is>
      </c>
      <c r="K156" s="6" t="n"/>
      <c r="L156" s="6" t="n"/>
      <c r="M156" s="6" t="n"/>
      <c r="N156" s="6" t="n"/>
      <c r="O156" s="6" t="n"/>
      <c r="P156" s="6" t="n"/>
    </row>
    <row r="157">
      <c r="A157" s="6" t="inlineStr">
        <is>
          <t>TC-137</t>
        </is>
      </c>
      <c r="B157" s="6" t="inlineStr">
        <is>
          <t>TS-09</t>
        </is>
      </c>
      <c r="C157" s="6" t="inlineStr">
        <is>
          <t>The UX Design gate blocks approval until all 22 WCAG 2.2 criteria are ticked</t>
        </is>
      </c>
      <c r="D157" s="6" t="inlineStr">
        <is>
          <t>Functional</t>
        </is>
      </c>
      <c r="E157" s="6" t="inlineStr">
        <is>
          <t>Critical</t>
        </is>
      </c>
      <c r="F157" s="6" t="inlineStr">
        <is>
          <t>/gates</t>
        </is>
      </c>
      <c r="G157" s="6" t="inlineStr">
        <is>
          <t>P4 Designer</t>
        </is>
      </c>
      <c r="H157" s="6" t="inlineStr">
        <is>
          <t>No</t>
        </is>
      </c>
      <c r="I157" s="6" t="inlineStr">
        <is>
          <t>C</t>
        </is>
      </c>
      <c r="J157" s="6" t="inlineStr">
        <is>
          <t>Not Run</t>
        </is>
      </c>
      <c r="K157" s="6" t="n"/>
      <c r="L157" s="6" t="n"/>
      <c r="M157" s="6" t="n"/>
      <c r="N157" s="6" t="n"/>
      <c r="O157" s="6" t="n"/>
      <c r="P157" s="6" t="n"/>
    </row>
    <row r="158">
      <c r="A158" s="6" t="inlineStr">
        <is>
          <t>TC-138</t>
        </is>
      </c>
      <c r="B158" s="6" t="inlineStr">
        <is>
          <t>TS-09</t>
        </is>
      </c>
      <c r="C158" s="6" t="inlineStr">
        <is>
          <t>The standalone criteria-gate screen</t>
        </is>
      </c>
      <c r="D158" s="6" t="inlineStr">
        <is>
          <t>UX</t>
        </is>
      </c>
      <c r="E158" s="6" t="inlineStr">
        <is>
          <t>Low</t>
        </is>
      </c>
      <c r="F158" s="6" t="inlineStr">
        <is>
          <t>/gates/:id/criteria</t>
        </is>
      </c>
      <c r="G158" s="6" t="inlineStr">
        <is>
          <t>P1 Owner-Admin</t>
        </is>
      </c>
      <c r="H158" s="6" t="inlineStr">
        <is>
          <t>Yes</t>
        </is>
      </c>
      <c r="I158" s="6" t="inlineStr">
        <is>
          <t>C</t>
        </is>
      </c>
      <c r="J158" s="6" t="inlineStr">
        <is>
          <t>Not Run</t>
        </is>
      </c>
      <c r="K158" s="6" t="n"/>
      <c r="L158" s="6" t="n"/>
      <c r="M158" s="6" t="n"/>
      <c r="N158" s="6" t="n"/>
      <c r="O158" s="6" t="n"/>
      <c r="P158" s="6" t="n"/>
    </row>
    <row r="159">
      <c r="A159" s="6" t="inlineStr">
        <is>
          <t>TC-139</t>
        </is>
      </c>
      <c r="B159" s="6" t="inlineStr">
        <is>
          <t>TS-09</t>
        </is>
      </c>
      <c r="C159" s="6" t="inlineStr">
        <is>
          <t>The Testing gate carries one platform-derived condition</t>
        </is>
      </c>
      <c r="D159" s="6" t="inlineStr">
        <is>
          <t>Negative</t>
        </is>
      </c>
      <c r="E159" s="6" t="inlineStr">
        <is>
          <t>High</t>
        </is>
      </c>
      <c r="F159" s="6" t="inlineStr">
        <is>
          <t>/gates</t>
        </is>
      </c>
      <c r="G159" s="6" t="inlineStr">
        <is>
          <t>P7 QA Lead</t>
        </is>
      </c>
      <c r="H159" s="6" t="inlineStr">
        <is>
          <t>No</t>
        </is>
      </c>
      <c r="I159" s="6" t="inlineStr">
        <is>
          <t>C</t>
        </is>
      </c>
      <c r="J159" s="6" t="inlineStr">
        <is>
          <t>Not Run</t>
        </is>
      </c>
      <c r="K159" s="6" t="n"/>
      <c r="L159" s="6" t="n"/>
      <c r="M159" s="6" t="n"/>
      <c r="N159" s="6" t="n"/>
      <c r="O159" s="6" t="n"/>
      <c r="P159" s="6" t="n"/>
    </row>
    <row r="160">
      <c r="A160" s="6" t="inlineStr">
        <is>
          <t>TC-140</t>
        </is>
      </c>
      <c r="B160" s="6" t="inlineStr">
        <is>
          <t>TS-09</t>
        </is>
      </c>
      <c r="C160" s="6" t="inlineStr">
        <is>
          <t>The Deployment gate carries 7 readiness criteria</t>
        </is>
      </c>
      <c r="D160" s="6" t="inlineStr">
        <is>
          <t>Functional</t>
        </is>
      </c>
      <c r="E160" s="6" t="inlineStr">
        <is>
          <t>High</t>
        </is>
      </c>
      <c r="F160" s="6" t="inlineStr">
        <is>
          <t>/gates</t>
        </is>
      </c>
      <c r="G160" s="6" t="inlineStr">
        <is>
          <t>P9 DevOps</t>
        </is>
      </c>
      <c r="H160" s="6" t="inlineStr">
        <is>
          <t>No</t>
        </is>
      </c>
      <c r="I160" s="6" t="inlineStr">
        <is>
          <t>C</t>
        </is>
      </c>
      <c r="J160" s="6" t="inlineStr">
        <is>
          <t>Not Run</t>
        </is>
      </c>
      <c r="K160" s="6" t="n"/>
      <c r="L160" s="6" t="n"/>
      <c r="M160" s="6" t="n"/>
      <c r="N160" s="6" t="n"/>
      <c r="O160" s="6" t="n"/>
      <c r="P160" s="6" t="n"/>
    </row>
    <row r="161">
      <c r="A161" s="6" t="inlineStr">
        <is>
          <t>TC-901</t>
        </is>
      </c>
      <c r="B161" s="6" t="inlineStr">
        <is>
          <t>TS-09</t>
        </is>
      </c>
      <c r="C161" s="6" t="inlineStr">
        <is>
          <t>The Task Breakdown gate reviews every task's repository assignment</t>
        </is>
      </c>
      <c r="D161" s="6" t="inlineStr">
        <is>
          <t>Functional</t>
        </is>
      </c>
      <c r="E161" s="6" t="inlineStr">
        <is>
          <t>Critical</t>
        </is>
      </c>
      <c r="F161" s="6" t="inlineStr">
        <is>
          <t>/gates</t>
        </is>
      </c>
      <c r="G161" s="6" t="inlineStr">
        <is>
          <t>P1 Owner-Admin</t>
        </is>
      </c>
      <c r="H161" s="6" t="inlineStr">
        <is>
          <t>No</t>
        </is>
      </c>
      <c r="I161" s="6" t="inlineStr">
        <is>
          <t>C</t>
        </is>
      </c>
      <c r="J161" s="6" t="inlineStr">
        <is>
          <t>Not Run</t>
        </is>
      </c>
      <c r="K161" s="6" t="n"/>
      <c r="L161" s="6" t="n"/>
      <c r="M161" s="6" t="n"/>
      <c r="N161" s="6" t="n"/>
      <c r="O161" s="6" t="n"/>
      <c r="P161" s="6" t="n"/>
    </row>
    <row r="162">
      <c r="A162" s="6" t="inlineStr">
        <is>
          <t>TC-902</t>
        </is>
      </c>
      <c r="B162" s="6" t="inlineStr">
        <is>
          <t>TS-09</t>
        </is>
      </c>
      <c r="C162" s="6" t="inlineStr">
        <is>
          <t>The work-item screen offers a second Approve/Reject with no role check</t>
        </is>
      </c>
      <c r="D162" s="6" t="inlineStr">
        <is>
          <t>Permission</t>
        </is>
      </c>
      <c r="E162" s="6" t="inlineStr">
        <is>
          <t>Critical</t>
        </is>
      </c>
      <c r="F162" s="6" t="inlineStr">
        <is>
          <t>/work-items/:id</t>
        </is>
      </c>
      <c r="G162" s="6" t="inlineStr">
        <is>
          <t>P10 Engineer</t>
        </is>
      </c>
      <c r="H162" s="6" t="inlineStr">
        <is>
          <t>No</t>
        </is>
      </c>
      <c r="I162" s="6" t="inlineStr">
        <is>
          <t>C</t>
        </is>
      </c>
      <c r="J162" s="6" t="inlineStr">
        <is>
          <t>Not Run</t>
        </is>
      </c>
      <c r="K162" s="6" t="n"/>
      <c r="L162" s="6" t="n"/>
      <c r="M162" s="6" t="n"/>
      <c r="N162" s="6" t="n"/>
      <c r="O162" s="6" t="n"/>
      <c r="P162" s="6" t="n"/>
    </row>
    <row r="163">
      <c r="A163" s="6" t="inlineStr">
        <is>
          <t>TC-903</t>
        </is>
      </c>
      <c r="B163" s="6" t="inlineStr">
        <is>
          <t>TS-09</t>
        </is>
      </c>
      <c r="C163" s="6" t="inlineStr">
        <is>
          <t>The merge gate requires the Reviewer role (08 Code Review)</t>
        </is>
      </c>
      <c r="D163" s="6" t="inlineStr">
        <is>
          <t>Permission</t>
        </is>
      </c>
      <c r="E163" s="6" t="inlineStr">
        <is>
          <t>High</t>
        </is>
      </c>
      <c r="F163" s="6" t="inlineStr">
        <is>
          <t>/gates</t>
        </is>
      </c>
      <c r="G163" s="6" t="inlineStr">
        <is>
          <t>P10 Engineer · a reviewer account</t>
        </is>
      </c>
      <c r="H163" s="6" t="inlineStr">
        <is>
          <t>No</t>
        </is>
      </c>
      <c r="I163" s="6" t="inlineStr">
        <is>
          <t>C</t>
        </is>
      </c>
      <c r="J163" s="6" t="inlineStr">
        <is>
          <t>Not Run</t>
        </is>
      </c>
      <c r="K163" s="6" t="n"/>
      <c r="L163" s="6" t="n"/>
      <c r="M163" s="6" t="n"/>
      <c r="N163" s="6" t="n"/>
      <c r="O163" s="6" t="n"/>
      <c r="P163" s="6" t="n"/>
    </row>
    <row r="164">
      <c r="A164" s="6" t="inlineStr">
        <is>
          <t>TC-904</t>
        </is>
      </c>
      <c r="B164" s="6" t="inlineStr">
        <is>
          <t>TS-09</t>
        </is>
      </c>
      <c r="C164" s="6" t="inlineStr">
        <is>
          <t>Rejecting the UX Design criteria gate is never blocked by unticked criteria</t>
        </is>
      </c>
      <c r="D164" s="6" t="inlineStr">
        <is>
          <t>Negative</t>
        </is>
      </c>
      <c r="E164" s="6" t="inlineStr">
        <is>
          <t>High</t>
        </is>
      </c>
      <c r="F164" s="6" t="inlineStr">
        <is>
          <t>/gates</t>
        </is>
      </c>
      <c r="G164" s="6" t="inlineStr">
        <is>
          <t>P4 Designer</t>
        </is>
      </c>
      <c r="H164" s="6" t="inlineStr">
        <is>
          <t>No</t>
        </is>
      </c>
      <c r="I164" s="6" t="inlineStr">
        <is>
          <t>C</t>
        </is>
      </c>
      <c r="J164" s="6" t="inlineStr">
        <is>
          <t>Not Run</t>
        </is>
      </c>
      <c r="K164" s="6" t="n"/>
      <c r="L164" s="6" t="n"/>
      <c r="M164" s="6" t="n"/>
      <c r="N164" s="6" t="n"/>
      <c r="O164" s="6" t="n"/>
      <c r="P164" s="6" t="n"/>
    </row>
    <row r="165">
      <c r="A165" s="6" t="inlineStr">
        <is>
          <t>TC-905</t>
        </is>
      </c>
      <c r="B165" s="6" t="inlineStr">
        <is>
          <t>TS-09</t>
        </is>
      </c>
      <c r="C165" s="6" t="inlineStr">
        <is>
          <t>Rejecting a build-tier merge gate stops the merge and leaves the PR open</t>
        </is>
      </c>
      <c r="D165" s="6" t="inlineStr">
        <is>
          <t>Functional</t>
        </is>
      </c>
      <c r="E165" s="6" t="inlineStr">
        <is>
          <t>Critical</t>
        </is>
      </c>
      <c r="F165" s="6" t="inlineStr">
        <is>
          <t>/gates · /runs/:id · /work-items/:id</t>
        </is>
      </c>
      <c r="G165" s="6" t="inlineStr">
        <is>
          <t>a reviewer account</t>
        </is>
      </c>
      <c r="H165" s="6" t="inlineStr">
        <is>
          <t>No</t>
        </is>
      </c>
      <c r="I165" s="6" t="inlineStr">
        <is>
          <t>C</t>
        </is>
      </c>
      <c r="J165" s="6" t="inlineStr">
        <is>
          <t>Not Run</t>
        </is>
      </c>
      <c r="K165" s="6" t="n"/>
      <c r="L165" s="6" t="n"/>
      <c r="M165" s="6" t="n"/>
      <c r="N165" s="6" t="n"/>
      <c r="O165" s="6" t="n"/>
      <c r="P165" s="6" t="n"/>
    </row>
    <row r="166">
      <c r="A166" s="6" t="inlineStr">
        <is>
          <t>TC-141</t>
        </is>
      </c>
      <c r="B166" s="6" t="inlineStr">
        <is>
          <t>TS-10</t>
        </is>
      </c>
      <c r="C166" s="6" t="inlineStr">
        <is>
          <t>Registry lists an artifact after a phase run, with the right columns</t>
        </is>
      </c>
      <c r="D166" s="6" t="inlineStr">
        <is>
          <t>Functional</t>
        </is>
      </c>
      <c r="E166" s="6" t="inlineStr">
        <is>
          <t>Critical</t>
        </is>
      </c>
      <c r="F166" s="6" t="inlineStr">
        <is>
          <t>/artifacts</t>
        </is>
      </c>
      <c r="G166" s="6" t="inlineStr">
        <is>
          <t>P1 Owner-Admin</t>
        </is>
      </c>
      <c r="H166" s="6" t="inlineStr">
        <is>
          <t>No</t>
        </is>
      </c>
      <c r="I166" s="6" t="inlineStr">
        <is>
          <t>C</t>
        </is>
      </c>
      <c r="J166" s="6" t="inlineStr">
        <is>
          <t>Not Run</t>
        </is>
      </c>
      <c r="K166" s="6" t="n"/>
      <c r="L166" s="6" t="n"/>
      <c r="M166" s="6" t="n"/>
      <c r="N166" s="6" t="n"/>
      <c r="O166" s="6" t="n"/>
      <c r="P166" s="6" t="n"/>
    </row>
    <row r="167">
      <c r="A167" s="6" t="inlineStr">
        <is>
          <t>TC-142</t>
        </is>
      </c>
      <c r="B167" s="6" t="inlineStr">
        <is>
          <t>TS-10</t>
        </is>
      </c>
      <c r="C167" s="6" t="inlineStr">
        <is>
          <t>Only Draft and Published status badges are reachable — Pending gate never renders</t>
        </is>
      </c>
      <c r="D167" s="6" t="inlineStr">
        <is>
          <t>UX</t>
        </is>
      </c>
      <c r="E167" s="6" t="inlineStr">
        <is>
          <t>Medium</t>
        </is>
      </c>
      <c r="F167" s="6" t="inlineStr">
        <is>
          <t>/artifacts · /gates</t>
        </is>
      </c>
      <c r="G167" s="6" t="inlineStr">
        <is>
          <t>P1 Owner-Admin</t>
        </is>
      </c>
      <c r="H167" s="6" t="inlineStr">
        <is>
          <t>No</t>
        </is>
      </c>
      <c r="I167" s="6" t="inlineStr">
        <is>
          <t>C</t>
        </is>
      </c>
      <c r="J167" s="6" t="inlineStr">
        <is>
          <t>Not Run</t>
        </is>
      </c>
      <c r="K167" s="6" t="n"/>
      <c r="L167" s="6" t="n"/>
      <c r="M167" s="6" t="n"/>
      <c r="N167" s="6" t="n"/>
      <c r="O167" s="6" t="n"/>
      <c r="P167" s="6" t="n"/>
    </row>
    <row r="168">
      <c r="A168" s="6" t="inlineStr">
        <is>
          <t>TC-143</t>
        </is>
      </c>
      <c r="B168" s="6" t="inlineStr">
        <is>
          <t>TS-10</t>
        </is>
      </c>
      <c r="C168" s="6" t="inlineStr">
        <is>
          <t>Phase, Type and Status filters and the search box narrow the registry</t>
        </is>
      </c>
      <c r="D168" s="6" t="inlineStr">
        <is>
          <t>Functional</t>
        </is>
      </c>
      <c r="E168" s="6" t="inlineStr">
        <is>
          <t>Medium</t>
        </is>
      </c>
      <c r="F168" s="6" t="inlineStr">
        <is>
          <t>/artifacts</t>
        </is>
      </c>
      <c r="G168" s="6" t="inlineStr">
        <is>
          <t>P1 Owner-Admin</t>
        </is>
      </c>
      <c r="H168" s="6" t="inlineStr">
        <is>
          <t>No</t>
        </is>
      </c>
      <c r="I168" s="6" t="inlineStr">
        <is>
          <t>C</t>
        </is>
      </c>
      <c r="J168" s="6" t="inlineStr">
        <is>
          <t>Not Run</t>
        </is>
      </c>
      <c r="K168" s="6" t="n"/>
      <c r="L168" s="6" t="n"/>
      <c r="M168" s="6" t="n"/>
      <c r="N168" s="6" t="n"/>
      <c r="O168" s="6" t="n"/>
      <c r="P168" s="6" t="n"/>
    </row>
    <row r="169">
      <c r="A169" s="6" t="inlineStr">
        <is>
          <t>TC-144</t>
        </is>
      </c>
      <c r="B169" s="6" t="inlineStr">
        <is>
          <t>TS-10</t>
        </is>
      </c>
      <c r="C169" s="6" t="inlineStr">
        <is>
          <t>Filtered-empty state appears when nothing matches</t>
        </is>
      </c>
      <c r="D169" s="6" t="inlineStr">
        <is>
          <t>UX</t>
        </is>
      </c>
      <c r="E169" s="6" t="inlineStr">
        <is>
          <t>Medium</t>
        </is>
      </c>
      <c r="F169" s="6" t="inlineStr">
        <is>
          <t>/artifacts</t>
        </is>
      </c>
      <c r="G169" s="6" t="inlineStr">
        <is>
          <t>P1 Owner-Admin</t>
        </is>
      </c>
      <c r="H169" s="6" t="inlineStr">
        <is>
          <t>No</t>
        </is>
      </c>
      <c r="I169" s="6" t="inlineStr">
        <is>
          <t>C</t>
        </is>
      </c>
      <c r="J169" s="6" t="inlineStr">
        <is>
          <t>Not Run</t>
        </is>
      </c>
      <c r="K169" s="6" t="n"/>
      <c r="L169" s="6" t="n"/>
      <c r="M169" s="6" t="n"/>
      <c r="N169" s="6" t="n"/>
      <c r="O169" s="6" t="n"/>
      <c r="P169" s="6" t="n"/>
    </row>
    <row r="170">
      <c r="A170" s="6" t="inlineStr">
        <is>
          <t>TC-145</t>
        </is>
      </c>
      <c r="B170" s="6" t="inlineStr">
        <is>
          <t>TS-10</t>
        </is>
      </c>
      <c r="C170" s="6" t="inlineStr">
        <is>
          <t>Truly-empty registry on a project that has never run a phase</t>
        </is>
      </c>
      <c r="D170" s="6" t="inlineStr">
        <is>
          <t>UX</t>
        </is>
      </c>
      <c r="E170" s="6" t="inlineStr">
        <is>
          <t>Medium</t>
        </is>
      </c>
      <c r="F170" s="6" t="inlineStr">
        <is>
          <t>/artifacts</t>
        </is>
      </c>
      <c r="G170" s="6" t="inlineStr">
        <is>
          <t>P1 Owner-Admin</t>
        </is>
      </c>
      <c r="H170" s="6" t="inlineStr">
        <is>
          <t>No</t>
        </is>
      </c>
      <c r="I170" s="6" t="inlineStr">
        <is>
          <t>C</t>
        </is>
      </c>
      <c r="J170" s="6" t="inlineStr">
        <is>
          <t>Not Run</t>
        </is>
      </c>
      <c r="K170" s="6" t="n"/>
      <c r="L170" s="6" t="n"/>
      <c r="M170" s="6" t="n"/>
      <c r="N170" s="6" t="n"/>
      <c r="O170" s="6" t="n"/>
      <c r="P170" s="6" t="n"/>
    </row>
    <row r="171">
      <c r="A171" s="6" t="inlineStr">
        <is>
          <t>TC-146</t>
        </is>
      </c>
      <c r="B171" s="6" t="inlineStr">
        <is>
          <t>TS-10</t>
        </is>
      </c>
      <c r="C171" s="6" t="inlineStr">
        <is>
          <t>Export appears only once a phase's gate has been approved</t>
        </is>
      </c>
      <c r="D171" s="6" t="inlineStr">
        <is>
          <t>Functional</t>
        </is>
      </c>
      <c r="E171" s="6" t="inlineStr">
        <is>
          <t>High</t>
        </is>
      </c>
      <c r="F171" s="6" t="inlineStr">
        <is>
          <t>/gates → /artifacts</t>
        </is>
      </c>
      <c r="G171" s="6" t="inlineStr">
        <is>
          <t>P1 Owner-Admin</t>
        </is>
      </c>
      <c r="H171" s="6" t="inlineStr">
        <is>
          <t>No</t>
        </is>
      </c>
      <c r="I171" s="6" t="inlineStr">
        <is>
          <t>C</t>
        </is>
      </c>
      <c r="J171" s="6" t="inlineStr">
        <is>
          <t>Not Run</t>
        </is>
      </c>
      <c r="K171" s="6" t="n"/>
      <c r="L171" s="6" t="n"/>
      <c r="M171" s="6" t="n"/>
      <c r="N171" s="6" t="n"/>
      <c r="O171" s="6" t="n"/>
      <c r="P171" s="6" t="n"/>
    </row>
    <row r="172">
      <c r="A172" s="6" t="inlineStr">
        <is>
          <t>TC-147</t>
        </is>
      </c>
      <c r="B172" s="6" t="inlineStr">
        <is>
          <t>TS-10</t>
        </is>
      </c>
      <c r="C172" s="6" t="inlineStr">
        <is>
          <t>Preview opens read-only with the never-an-editor banner and version history</t>
        </is>
      </c>
      <c r="D172" s="6" t="inlineStr">
        <is>
          <t>Functional</t>
        </is>
      </c>
      <c r="E172" s="6" t="inlineStr">
        <is>
          <t>High</t>
        </is>
      </c>
      <c r="F172" s="6" t="inlineStr">
        <is>
          <t>/artifacts/:id</t>
        </is>
      </c>
      <c r="G172" s="6" t="inlineStr">
        <is>
          <t>P1 Owner-Admin</t>
        </is>
      </c>
      <c r="H172" s="6" t="inlineStr">
        <is>
          <t>No</t>
        </is>
      </c>
      <c r="I172" s="6" t="inlineStr">
        <is>
          <t>C</t>
        </is>
      </c>
      <c r="J172" s="6" t="inlineStr">
        <is>
          <t>Not Run</t>
        </is>
      </c>
      <c r="K172" s="6" t="n"/>
      <c r="L172" s="6" t="n"/>
      <c r="M172" s="6" t="n"/>
      <c r="N172" s="6" t="n"/>
      <c r="O172" s="6" t="n"/>
      <c r="P172" s="6" t="n"/>
    </row>
    <row r="173">
      <c r="A173" s="6" t="inlineStr">
        <is>
          <t>TC-148</t>
        </is>
      </c>
      <c r="B173" s="6" t="inlineStr">
        <is>
          <t>TS-10</t>
        </is>
      </c>
      <c r="C173" s="6" t="inlineStr">
        <is>
          <t>A markdown artifact previews as formatted markdown, not raw source</t>
        </is>
      </c>
      <c r="D173" s="6" t="inlineStr">
        <is>
          <t>UX</t>
        </is>
      </c>
      <c r="E173" s="6" t="inlineStr">
        <is>
          <t>Medium</t>
        </is>
      </c>
      <c r="F173" s="6" t="inlineStr">
        <is>
          <t>/artifacts/:id</t>
        </is>
      </c>
      <c r="G173" s="6" t="inlineStr">
        <is>
          <t>P1 Owner-Admin</t>
        </is>
      </c>
      <c r="H173" s="6" t="inlineStr">
        <is>
          <t>No</t>
        </is>
      </c>
      <c r="I173" s="6" t="inlineStr">
        <is>
          <t>C</t>
        </is>
      </c>
      <c r="J173" s="6" t="inlineStr">
        <is>
          <t>Not Run</t>
        </is>
      </c>
      <c r="K173" s="6" t="n"/>
      <c r="L173" s="6" t="n"/>
      <c r="M173" s="6" t="n"/>
      <c r="N173" s="6" t="n"/>
      <c r="O173" s="6" t="n"/>
      <c r="P173" s="6" t="n"/>
    </row>
    <row r="174">
      <c r="A174" s="6" t="inlineStr">
        <is>
          <t>TC-149</t>
        </is>
      </c>
      <c r="B174" s="6" t="inlineStr">
        <is>
          <t>TS-10</t>
        </is>
      </c>
      <c r="C174" s="6" t="inlineStr">
        <is>
          <t>A listed artifact with no readable body shows Artifact not found</t>
        </is>
      </c>
      <c r="D174" s="6" t="inlineStr">
        <is>
          <t>UX</t>
        </is>
      </c>
      <c r="E174" s="6" t="inlineStr">
        <is>
          <t>Medium</t>
        </is>
      </c>
      <c r="F174" s="6" t="inlineStr">
        <is>
          <t>/artifacts/:id</t>
        </is>
      </c>
      <c r="G174" s="6" t="inlineStr">
        <is>
          <t>P1 Owner-Admin</t>
        </is>
      </c>
      <c r="H174" s="6" t="inlineStr">
        <is>
          <t>No</t>
        </is>
      </c>
      <c r="I174" s="6" t="inlineStr">
        <is>
          <t>C</t>
        </is>
      </c>
      <c r="J174" s="6" t="inlineStr">
        <is>
          <t>Not Run</t>
        </is>
      </c>
      <c r="K174" s="6" t="n"/>
      <c r="L174" s="6" t="n"/>
      <c r="M174" s="6" t="n"/>
      <c r="N174" s="6" t="n"/>
      <c r="O174" s="6" t="n"/>
      <c r="P174" s="6" t="n"/>
    </row>
    <row r="175">
      <c r="A175" s="6" t="inlineStr">
        <is>
          <t>TC-150</t>
        </is>
      </c>
      <c r="B175" s="6" t="inlineStr">
        <is>
          <t>TS-10</t>
        </is>
      </c>
      <c r="C175" s="6" t="inlineStr">
        <is>
          <t>An unknown artifact id shows Artifact not found</t>
        </is>
      </c>
      <c r="D175" s="6" t="inlineStr">
        <is>
          <t>Negative</t>
        </is>
      </c>
      <c r="E175" s="6" t="inlineStr">
        <is>
          <t>Medium</t>
        </is>
      </c>
      <c r="F175" s="6" t="inlineStr">
        <is>
          <t>/artifacts/:id</t>
        </is>
      </c>
      <c r="G175" s="6" t="inlineStr">
        <is>
          <t>P1 Owner-Admin</t>
        </is>
      </c>
      <c r="H175" s="6" t="inlineStr">
        <is>
          <t>Yes</t>
        </is>
      </c>
      <c r="I175" s="6" t="inlineStr">
        <is>
          <t>C</t>
        </is>
      </c>
      <c r="J175" s="6" t="inlineStr">
        <is>
          <t>Not Run</t>
        </is>
      </c>
      <c r="K175" s="6" t="n"/>
      <c r="L175" s="6" t="n"/>
      <c r="M175" s="6" t="n"/>
      <c r="N175" s="6" t="n"/>
      <c r="O175" s="6" t="n"/>
      <c r="P175" s="6" t="n"/>
    </row>
    <row r="176">
      <c r="A176" s="6" t="inlineStr">
        <is>
          <t>TC-151</t>
        </is>
      </c>
      <c r="B176" s="6" t="inlineStr">
        <is>
          <t>TS-10</t>
        </is>
      </c>
      <c r="C176" s="6" t="inlineStr">
        <is>
          <t>A draft or staged artifact cannot be published — the gate rule holds</t>
        </is>
      </c>
      <c r="D176" s="6" t="inlineStr">
        <is>
          <t>Negative</t>
        </is>
      </c>
      <c r="E176" s="6" t="inlineStr">
        <is>
          <t>Critical</t>
        </is>
      </c>
      <c r="F176" s="6" t="inlineStr">
        <is>
          <t>/artifacts/:id/publish</t>
        </is>
      </c>
      <c r="G176" s="6" t="inlineStr">
        <is>
          <t>P1 Owner-Admin</t>
        </is>
      </c>
      <c r="H176" s="6" t="inlineStr">
        <is>
          <t>No</t>
        </is>
      </c>
      <c r="I176" s="6" t="inlineStr">
        <is>
          <t>C</t>
        </is>
      </c>
      <c r="J176" s="6" t="inlineStr">
        <is>
          <t>Not Run</t>
        </is>
      </c>
      <c r="K176" s="6" t="n"/>
      <c r="L176" s="6" t="n"/>
      <c r="M176" s="6" t="n"/>
      <c r="N176" s="6" t="n"/>
      <c r="O176" s="6" t="n"/>
      <c r="P176" s="6" t="n"/>
    </row>
    <row r="177">
      <c r="A177" s="6" t="inlineStr">
        <is>
          <t>TC-152</t>
        </is>
      </c>
      <c r="B177" s="6" t="inlineStr">
        <is>
          <t>TS-10</t>
        </is>
      </c>
      <c r="C177" s="6" t="inlineStr">
        <is>
          <t>An internal re-publish of a gate-approved artifact succeeds and changes nothing</t>
        </is>
      </c>
      <c r="D177" s="6" t="inlineStr">
        <is>
          <t>Functional</t>
        </is>
      </c>
      <c r="E177" s="6" t="inlineStr">
        <is>
          <t>Critical</t>
        </is>
      </c>
      <c r="F177" s="6" t="inlineStr">
        <is>
          <t>/artifacts/:id/publish</t>
        </is>
      </c>
      <c r="G177" s="6" t="inlineStr">
        <is>
          <t>P1 Owner-Admin</t>
        </is>
      </c>
      <c r="H177" s="6" t="inlineStr">
        <is>
          <t>No</t>
        </is>
      </c>
      <c r="I177" s="6" t="inlineStr">
        <is>
          <t>C</t>
        </is>
      </c>
      <c r="J177" s="6" t="inlineStr">
        <is>
          <t>Not Run</t>
        </is>
      </c>
      <c r="K177" s="6" t="n"/>
      <c r="L177" s="6" t="n"/>
      <c r="M177" s="6" t="n"/>
      <c r="N177" s="6" t="n"/>
      <c r="O177" s="6" t="n"/>
      <c r="P177" s="6" t="n"/>
    </row>
    <row r="178">
      <c r="A178" s="6" t="inlineStr">
        <is>
          <t>TC-153</t>
        </is>
      </c>
      <c r="B178" s="6" t="inlineStr">
        <is>
          <t>TS-10</t>
        </is>
      </c>
      <c r="C178" s="6" t="inlineStr">
        <is>
          <t>Target capability select and the Destination field's per-vendor help text</t>
        </is>
      </c>
      <c r="D178" s="6" t="inlineStr">
        <is>
          <t>Functional</t>
        </is>
      </c>
      <c r="E178" s="6" t="inlineStr">
        <is>
          <t>High</t>
        </is>
      </c>
      <c r="F178" s="6" t="inlineStr">
        <is>
          <t>/artifacts/:id/publish</t>
        </is>
      </c>
      <c r="G178" s="6" t="inlineStr">
        <is>
          <t>P1 Owner-Admin</t>
        </is>
      </c>
      <c r="H178" s="6" t="inlineStr">
        <is>
          <t>No</t>
        </is>
      </c>
      <c r="I178" s="6" t="inlineStr">
        <is>
          <t>C</t>
        </is>
      </c>
      <c r="J178" s="6" t="inlineStr">
        <is>
          <t>Not Run</t>
        </is>
      </c>
      <c r="K178" s="6" t="n"/>
      <c r="L178" s="6" t="n"/>
      <c r="M178" s="6" t="n"/>
      <c r="N178" s="6" t="n"/>
      <c r="O178" s="6" t="n"/>
      <c r="P178" s="6" t="n"/>
    </row>
    <row r="179">
      <c r="A179" s="6" t="inlineStr">
        <is>
          <t>TC-154</t>
        </is>
      </c>
      <c r="B179" s="6" t="inlineStr">
        <is>
          <t>TS-10</t>
        </is>
      </c>
      <c r="C179" s="6" t="inlineStr">
        <is>
          <t>A phase with an internal-only export policy offers no external target</t>
        </is>
      </c>
      <c r="D179" s="6" t="inlineStr">
        <is>
          <t>UX</t>
        </is>
      </c>
      <c r="E179" s="6" t="inlineStr">
        <is>
          <t>Medium</t>
        </is>
      </c>
      <c r="F179" s="6" t="inlineStr">
        <is>
          <t>/artifacts/:id/publish</t>
        </is>
      </c>
      <c r="G179" s="6" t="inlineStr">
        <is>
          <t>P1 Owner-Admin</t>
        </is>
      </c>
      <c r="H179" s="6" t="inlineStr">
        <is>
          <t>No</t>
        </is>
      </c>
      <c r="I179" s="6" t="inlineStr">
        <is>
          <t>C</t>
        </is>
      </c>
      <c r="J179" s="6" t="inlineStr">
        <is>
          <t>Not Run</t>
        </is>
      </c>
      <c r="K179" s="6" t="n"/>
      <c r="L179" s="6" t="n"/>
      <c r="M179" s="6" t="n"/>
      <c r="N179" s="6" t="n"/>
      <c r="O179" s="6" t="n"/>
      <c r="P179" s="6" t="n"/>
    </row>
    <row r="180">
      <c r="A180" s="6" t="inlineStr">
        <is>
          <t>TC-155</t>
        </is>
      </c>
      <c r="B180" s="6" t="inlineStr">
        <is>
          <t>TS-10</t>
        </is>
      </c>
      <c r="C180" s="6" t="inlineStr">
        <is>
          <t>UX Design artifacts are hard-locked to internal with the Figma note</t>
        </is>
      </c>
      <c r="D180" s="6" t="inlineStr">
        <is>
          <t>UX</t>
        </is>
      </c>
      <c r="E180" s="6" t="inlineStr">
        <is>
          <t>Medium</t>
        </is>
      </c>
      <c r="F180" s="6" t="inlineStr">
        <is>
          <t>/artifacts/:id/publish</t>
        </is>
      </c>
      <c r="G180" s="6" t="inlineStr">
        <is>
          <t>P1 Owner-Admin / P4 Designer</t>
        </is>
      </c>
      <c r="H180" s="6" t="inlineStr">
        <is>
          <t>No</t>
        </is>
      </c>
      <c r="I180" s="6" t="inlineStr">
        <is>
          <t>C</t>
        </is>
      </c>
      <c r="J180" s="6" t="inlineStr">
        <is>
          <t>Not Run</t>
        </is>
      </c>
      <c r="K180" s="6" t="n"/>
      <c r="L180" s="6" t="n"/>
      <c r="M180" s="6" t="n"/>
      <c r="N180" s="6" t="n"/>
      <c r="O180" s="6" t="n"/>
      <c r="P180" s="6" t="n"/>
    </row>
    <row r="181">
      <c r="A181" s="6" t="inlineStr">
        <is>
          <t>TC-156</t>
        </is>
      </c>
      <c r="B181" s="6" t="inlineStr">
        <is>
          <t>TS-10</t>
        </is>
      </c>
      <c r="C181" s="6" t="inlineStr">
        <is>
          <t>An external publish with no connector fails loudly and never claims a push</t>
        </is>
      </c>
      <c r="D181" s="6" t="inlineStr">
        <is>
          <t>Negative</t>
        </is>
      </c>
      <c r="E181" s="6" t="inlineStr">
        <is>
          <t>High</t>
        </is>
      </c>
      <c r="F181" s="6" t="inlineStr">
        <is>
          <t>/integrations · /artifacts/:id/publish</t>
        </is>
      </c>
      <c r="G181" s="6" t="inlineStr">
        <is>
          <t>P1 Owner-Admin</t>
        </is>
      </c>
      <c r="H181" s="6" t="inlineStr">
        <is>
          <t>No</t>
        </is>
      </c>
      <c r="I181" s="6" t="inlineStr">
        <is>
          <t>C</t>
        </is>
      </c>
      <c r="J181" s="6" t="inlineStr">
        <is>
          <t>Not Run</t>
        </is>
      </c>
      <c r="K181" s="6" t="n"/>
      <c r="L181" s="6" t="n"/>
      <c r="M181" s="6" t="n"/>
      <c r="N181" s="6" t="n"/>
      <c r="O181" s="6" t="n"/>
      <c r="P181" s="6" t="n"/>
    </row>
    <row r="182">
      <c r="A182" s="6" t="inlineStr">
        <is>
          <t>TC-241</t>
        </is>
      </c>
      <c r="B182" s="6" t="inlineStr">
        <is>
          <t>TS-10</t>
        </is>
      </c>
      <c r="C182" s="6" t="inlineStr">
        <is>
          <t>A failed registry request renders as an empty registry, not as an error</t>
        </is>
      </c>
      <c r="D182" s="6" t="inlineStr">
        <is>
          <t>UX</t>
        </is>
      </c>
      <c r="E182" s="6" t="inlineStr">
        <is>
          <t>High</t>
        </is>
      </c>
      <c r="F182" s="6" t="inlineStr">
        <is>
          <t>/artifacts</t>
        </is>
      </c>
      <c r="G182" s="6" t="inlineStr">
        <is>
          <t>P1 Owner-Admin</t>
        </is>
      </c>
      <c r="H182" s="6" t="inlineStr">
        <is>
          <t>No</t>
        </is>
      </c>
      <c r="I182" s="6" t="inlineStr">
        <is>
          <t>C</t>
        </is>
      </c>
      <c r="J182" s="6" t="inlineStr">
        <is>
          <t>Not Run</t>
        </is>
      </c>
      <c r="K182" s="6" t="n"/>
      <c r="L182" s="6" t="n"/>
      <c r="M182" s="6" t="n"/>
      <c r="N182" s="6" t="n"/>
      <c r="O182" s="6" t="n"/>
      <c r="P182" s="6" t="n"/>
    </row>
    <row r="183">
      <c r="A183" s="6" t="inlineStr">
        <is>
          <t>TC-242</t>
        </is>
      </c>
      <c r="B183" s="6" t="inlineStr">
        <is>
          <t>TS-10</t>
        </is>
      </c>
      <c r="C183" s="6" t="inlineStr">
        <is>
          <t>A multi-state wireframe artifact previews behind a state switcher</t>
        </is>
      </c>
      <c r="D183" s="6" t="inlineStr">
        <is>
          <t>Functional</t>
        </is>
      </c>
      <c r="E183" s="6" t="inlineStr">
        <is>
          <t>Medium</t>
        </is>
      </c>
      <c r="F183" s="6" t="inlineStr">
        <is>
          <t>/artifacts/:id</t>
        </is>
      </c>
      <c r="G183" s="6" t="inlineStr">
        <is>
          <t>P1 Owner-Admin</t>
        </is>
      </c>
      <c r="H183" s="6" t="inlineStr">
        <is>
          <t>No</t>
        </is>
      </c>
      <c r="I183" s="6" t="inlineStr">
        <is>
          <t>C</t>
        </is>
      </c>
      <c r="J183" s="6" t="inlineStr">
        <is>
          <t>Not Run</t>
        </is>
      </c>
      <c r="K183" s="6" t="n"/>
      <c r="L183" s="6" t="n"/>
      <c r="M183" s="6" t="n"/>
      <c r="N183" s="6" t="n"/>
      <c r="O183" s="6" t="n"/>
      <c r="P183" s="6" t="n"/>
    </row>
    <row r="184">
      <c r="A184" s="6" t="inlineStr">
        <is>
          <t>TC-243</t>
        </is>
      </c>
      <c r="B184" s="6" t="inlineStr">
        <is>
          <t>TS-10</t>
        </is>
      </c>
      <c r="C184" s="6" t="inlineStr">
        <is>
          <t>An artifact owned by an external system of record shows the read-there card</t>
        </is>
      </c>
      <c r="D184" s="6" t="inlineStr">
        <is>
          <t>Functional</t>
        </is>
      </c>
      <c r="E184" s="6" t="inlineStr">
        <is>
          <t>Medium</t>
        </is>
      </c>
      <c r="F184" s="6" t="inlineStr">
        <is>
          <t>/artifacts/:id</t>
        </is>
      </c>
      <c r="G184" s="6" t="inlineStr">
        <is>
          <t>P1 Owner-Admin</t>
        </is>
      </c>
      <c r="H184" s="6" t="inlineStr">
        <is>
          <t>No</t>
        </is>
      </c>
      <c r="I184" s="6" t="inlineStr">
        <is>
          <t>C</t>
        </is>
      </c>
      <c r="J184" s="6" t="inlineStr">
        <is>
          <t>Not Run</t>
        </is>
      </c>
      <c r="K184" s="6" t="n"/>
      <c r="L184" s="6" t="n"/>
      <c r="M184" s="6" t="n"/>
      <c r="N184" s="6" t="n"/>
      <c r="O184" s="6" t="n"/>
      <c r="P184" s="6" t="n"/>
    </row>
    <row r="185">
      <c r="A185" s="6" t="inlineStr">
        <is>
          <t>TC-244</t>
        </is>
      </c>
      <c r="B185" s="6" t="inlineStr">
        <is>
          <t>TS-10</t>
        </is>
      </c>
      <c r="C185" s="6" t="inlineStr">
        <is>
          <t>The registry has no pagination and no sortable columns</t>
        </is>
      </c>
      <c r="D185" s="6" t="inlineStr">
        <is>
          <t>UX</t>
        </is>
      </c>
      <c r="E185" s="6" t="inlineStr">
        <is>
          <t>Low</t>
        </is>
      </c>
      <c r="F185" s="6" t="inlineStr">
        <is>
          <t>/artifacts</t>
        </is>
      </c>
      <c r="G185" s="6" t="inlineStr">
        <is>
          <t>P1 Owner-Admin</t>
        </is>
      </c>
      <c r="H185" s="6" t="inlineStr">
        <is>
          <t>No</t>
        </is>
      </c>
      <c r="I185" s="6" t="inlineStr">
        <is>
          <t>C</t>
        </is>
      </c>
      <c r="J185" s="6" t="inlineStr">
        <is>
          <t>Not Run</t>
        </is>
      </c>
      <c r="K185" s="6" t="n"/>
      <c r="L185" s="6" t="n"/>
      <c r="M185" s="6" t="n"/>
      <c r="N185" s="6" t="n"/>
      <c r="O185" s="6" t="n"/>
      <c r="P185" s="6" t="n"/>
    </row>
    <row r="186">
      <c r="A186" s="6" t="inlineStr">
        <is>
          <t>TC-157</t>
        </is>
      </c>
      <c r="B186" s="6" t="inlineStr">
        <is>
          <t>TS-11</t>
        </is>
      </c>
      <c r="C186" s="6" t="inlineStr">
        <is>
          <t>The lineage graph renders nodes and edges once artifacts exist</t>
        </is>
      </c>
      <c r="D186" s="6" t="inlineStr">
        <is>
          <t>Functional</t>
        </is>
      </c>
      <c r="E186" s="6" t="inlineStr">
        <is>
          <t>High</t>
        </is>
      </c>
      <c r="F186" s="6" t="inlineStr">
        <is>
          <t>/traceability</t>
        </is>
      </c>
      <c r="G186" s="6" t="inlineStr">
        <is>
          <t>P1 Owner-Admin</t>
        </is>
      </c>
      <c r="H186" s="6" t="inlineStr">
        <is>
          <t>No</t>
        </is>
      </c>
      <c r="I186" s="6" t="inlineStr">
        <is>
          <t>B</t>
        </is>
      </c>
      <c r="J186" s="6" t="inlineStr">
        <is>
          <t>Not Run</t>
        </is>
      </c>
      <c r="K186" s="6" t="n"/>
      <c r="L186" s="6" t="n"/>
      <c r="M186" s="6" t="n"/>
      <c r="N186" s="6" t="n"/>
      <c r="O186" s="6" t="n"/>
      <c r="P186" s="6" t="n"/>
    </row>
    <row r="187">
      <c r="A187" s="6" t="inlineStr">
        <is>
          <t>TC-158</t>
        </is>
      </c>
      <c r="B187" s="6" t="inlineStr">
        <is>
          <t>TS-11</t>
        </is>
      </c>
      <c r="C187" s="6" t="inlineStr">
        <is>
          <t>The legend's third entry is unreachable — only Published and Draft colour any node</t>
        </is>
      </c>
      <c r="D187" s="6" t="inlineStr">
        <is>
          <t>UX</t>
        </is>
      </c>
      <c r="E187" s="6" t="inlineStr">
        <is>
          <t>Medium</t>
        </is>
      </c>
      <c r="F187" s="6" t="inlineStr">
        <is>
          <t>/traceability</t>
        </is>
      </c>
      <c r="G187" s="6" t="inlineStr">
        <is>
          <t>P1 Owner-Admin</t>
        </is>
      </c>
      <c r="H187" s="6" t="inlineStr">
        <is>
          <t>No</t>
        </is>
      </c>
      <c r="I187" s="6" t="inlineStr">
        <is>
          <t>B</t>
        </is>
      </c>
      <c r="J187" s="6" t="inlineStr">
        <is>
          <t>Not Run</t>
        </is>
      </c>
      <c r="K187" s="6" t="n"/>
      <c r="L187" s="6" t="n"/>
      <c r="M187" s="6" t="n"/>
      <c r="N187" s="6" t="n"/>
      <c r="O187" s="6" t="n"/>
      <c r="P187" s="6" t="n"/>
    </row>
    <row r="188">
      <c r="A188" s="6" t="inlineStr">
        <is>
          <t>TC-159</t>
        </is>
      </c>
      <c r="B188" s="6" t="inlineStr">
        <is>
          <t>TS-11</t>
        </is>
      </c>
      <c r="C188" s="6" t="inlineStr">
        <is>
          <t>Clicking a node opens the artifact preview, or the external URL</t>
        </is>
      </c>
      <c r="D188" s="6" t="inlineStr">
        <is>
          <t>Functional</t>
        </is>
      </c>
      <c r="E188" s="6" t="inlineStr">
        <is>
          <t>High</t>
        </is>
      </c>
      <c r="F188" s="6" t="inlineStr">
        <is>
          <t>/traceability → /artifacts/:id</t>
        </is>
      </c>
      <c r="G188" s="6" t="inlineStr">
        <is>
          <t>P1 Owner-Admin</t>
        </is>
      </c>
      <c r="H188" s="6" t="inlineStr">
        <is>
          <t>No</t>
        </is>
      </c>
      <c r="I188" s="6" t="inlineStr">
        <is>
          <t>B</t>
        </is>
      </c>
      <c r="J188" s="6" t="inlineStr">
        <is>
          <t>Not Run</t>
        </is>
      </c>
      <c r="K188" s="6" t="n"/>
      <c r="L188" s="6" t="n"/>
      <c r="M188" s="6" t="n"/>
      <c r="N188" s="6" t="n"/>
      <c r="O188" s="6" t="n"/>
      <c r="P188" s="6" t="n"/>
    </row>
    <row r="189">
      <c r="A189" s="6" t="inlineStr">
        <is>
          <t>TC-160</t>
        </is>
      </c>
      <c r="B189" s="6" t="inlineStr">
        <is>
          <t>TS-11</t>
        </is>
      </c>
      <c r="C189" s="6" t="inlineStr">
        <is>
          <t>A graph node can be reached and activated from the keyboard</t>
        </is>
      </c>
      <c r="D189" s="6" t="inlineStr">
        <is>
          <t>UX</t>
        </is>
      </c>
      <c r="E189" s="6" t="inlineStr">
        <is>
          <t>Medium</t>
        </is>
      </c>
      <c r="F189" s="6" t="inlineStr">
        <is>
          <t>/traceability</t>
        </is>
      </c>
      <c r="G189" s="6" t="inlineStr">
        <is>
          <t>P1 Owner-Admin</t>
        </is>
      </c>
      <c r="H189" s="6" t="inlineStr">
        <is>
          <t>No</t>
        </is>
      </c>
      <c r="I189" s="6" t="inlineStr">
        <is>
          <t>B</t>
        </is>
      </c>
      <c r="J189" s="6" t="inlineStr">
        <is>
          <t>Not Run</t>
        </is>
      </c>
      <c r="K189" s="6" t="n"/>
      <c r="L189" s="6" t="n"/>
      <c r="M189" s="6" t="n"/>
      <c r="N189" s="6" t="n"/>
      <c r="O189" s="6" t="n"/>
      <c r="P189" s="6" t="n"/>
    </row>
    <row r="190">
      <c r="A190" s="6" t="inlineStr">
        <is>
          <t>TC-161</t>
        </is>
      </c>
      <c r="B190" s="6" t="inlineStr">
        <is>
          <t>TS-11</t>
        </is>
      </c>
      <c r="C190" s="6" t="inlineStr">
        <is>
          <t>The graph shows the empty state on a project with no artifacts</t>
        </is>
      </c>
      <c r="D190" s="6" t="inlineStr">
        <is>
          <t>UX</t>
        </is>
      </c>
      <c r="E190" s="6" t="inlineStr">
        <is>
          <t>Medium</t>
        </is>
      </c>
      <c r="F190" s="6" t="inlineStr">
        <is>
          <t>/traceability</t>
        </is>
      </c>
      <c r="G190" s="6" t="inlineStr">
        <is>
          <t>P1 Owner-Admin</t>
        </is>
      </c>
      <c r="H190" s="6" t="inlineStr">
        <is>
          <t>No</t>
        </is>
      </c>
      <c r="I190" s="6" t="inlineStr">
        <is>
          <t>B</t>
        </is>
      </c>
      <c r="J190" s="6" t="inlineStr">
        <is>
          <t>Not Run</t>
        </is>
      </c>
      <c r="K190" s="6" t="n"/>
      <c r="L190" s="6" t="n"/>
      <c r="M190" s="6" t="n"/>
      <c r="N190" s="6" t="n"/>
      <c r="O190" s="6" t="n"/>
      <c r="P190" s="6" t="n"/>
    </row>
    <row r="191">
      <c r="A191" s="6" t="inlineStr">
        <is>
          <t>TC-162</t>
        </is>
      </c>
      <c r="B191" s="6" t="inlineStr">
        <is>
          <t>TS-11</t>
        </is>
      </c>
      <c r="C191" s="6" t="inlineStr">
        <is>
          <t>The graph shows a loading state before the lineage arrives</t>
        </is>
      </c>
      <c r="D191" s="6" t="inlineStr">
        <is>
          <t>UX</t>
        </is>
      </c>
      <c r="E191" s="6" t="inlineStr">
        <is>
          <t>Low</t>
        </is>
      </c>
      <c r="F191" s="6" t="inlineStr">
        <is>
          <t>/traceability</t>
        </is>
      </c>
      <c r="G191" s="6" t="inlineStr">
        <is>
          <t>P1 Owner-Admin</t>
        </is>
      </c>
      <c r="H191" s="6" t="inlineStr">
        <is>
          <t>No</t>
        </is>
      </c>
      <c r="I191" s="6" t="inlineStr">
        <is>
          <t>B</t>
        </is>
      </c>
      <c r="J191" s="6" t="inlineStr">
        <is>
          <t>Not Run</t>
        </is>
      </c>
      <c r="K191" s="6" t="n"/>
      <c r="L191" s="6" t="n"/>
      <c r="M191" s="6" t="n"/>
      <c r="N191" s="6" t="n"/>
      <c r="O191" s="6" t="n"/>
      <c r="P191" s="6" t="n"/>
    </row>
    <row r="192">
      <c r="A192" s="6" t="inlineStr">
        <is>
          <t>TC-163</t>
        </is>
      </c>
      <c r="B192" s="6" t="inlineStr">
        <is>
          <t>TS-11</t>
        </is>
      </c>
      <c r="C192" s="6" t="inlineStr">
        <is>
          <t>The live traceability screen has no phase/type/highlight filters and no zoom buttons</t>
        </is>
      </c>
      <c r="D192" s="6" t="inlineStr">
        <is>
          <t>UX</t>
        </is>
      </c>
      <c r="E192" s="6" t="inlineStr">
        <is>
          <t>Medium</t>
        </is>
      </c>
      <c r="F192" s="6" t="inlineStr">
        <is>
          <t>/traceability</t>
        </is>
      </c>
      <c r="G192" s="6" t="inlineStr">
        <is>
          <t>P1 Owner-Admin</t>
        </is>
      </c>
      <c r="H192" s="6" t="inlineStr">
        <is>
          <t>No</t>
        </is>
      </c>
      <c r="I192" s="6" t="inlineStr">
        <is>
          <t>B</t>
        </is>
      </c>
      <c r="J192" s="6" t="inlineStr">
        <is>
          <t>Not Run</t>
        </is>
      </c>
      <c r="K192" s="6" t="n"/>
      <c r="L192" s="6" t="n"/>
      <c r="M192" s="6" t="n"/>
      <c r="N192" s="6" t="n"/>
      <c r="O192" s="6" t="n"/>
      <c r="P192" s="6" t="n"/>
    </row>
    <row r="193">
      <c r="A193" s="6" t="inlineStr">
        <is>
          <t>TC-164</t>
        </is>
      </c>
      <c r="B193" s="6" t="inlineStr">
        <is>
          <t>TS-11</t>
        </is>
      </c>
      <c r="C193" s="6" t="inlineStr">
        <is>
          <t>/transcripts lists only completed and approved runs, with the right columns</t>
        </is>
      </c>
      <c r="D193" s="6" t="inlineStr">
        <is>
          <t>Functional</t>
        </is>
      </c>
      <c r="E193" s="6" t="inlineStr">
        <is>
          <t>High</t>
        </is>
      </c>
      <c r="F193" s="6" t="inlineStr">
        <is>
          <t>/transcripts</t>
        </is>
      </c>
      <c r="G193" s="6" t="inlineStr">
        <is>
          <t>P1 Owner-Admin</t>
        </is>
      </c>
      <c r="H193" s="6" t="inlineStr">
        <is>
          <t>No</t>
        </is>
      </c>
      <c r="I193" s="6" t="inlineStr">
        <is>
          <t>B</t>
        </is>
      </c>
      <c r="J193" s="6" t="inlineStr">
        <is>
          <t>Not Run</t>
        </is>
      </c>
      <c r="K193" s="6" t="n"/>
      <c r="L193" s="6" t="n"/>
      <c r="M193" s="6" t="n"/>
      <c r="N193" s="6" t="n"/>
      <c r="O193" s="6" t="n"/>
      <c r="P193" s="6" t="n"/>
    </row>
    <row r="194">
      <c r="A194" s="6" t="inlineStr">
        <is>
          <t>TC-165</t>
        </is>
      </c>
      <c r="B194" s="6" t="inlineStr">
        <is>
          <t>TS-11</t>
        </is>
      </c>
      <c r="C194" s="6" t="inlineStr">
        <is>
          <t>Opening a transcript shows the read-only replay with the provenance banner</t>
        </is>
      </c>
      <c r="D194" s="6" t="inlineStr">
        <is>
          <t>Functional</t>
        </is>
      </c>
      <c r="E194" s="6" t="inlineStr">
        <is>
          <t>High</t>
        </is>
      </c>
      <c r="F194" s="6" t="inlineStr">
        <is>
          <t>/transcripts/:id</t>
        </is>
      </c>
      <c r="G194" s="6" t="inlineStr">
        <is>
          <t>P1 Owner-Admin</t>
        </is>
      </c>
      <c r="H194" s="6" t="inlineStr">
        <is>
          <t>No</t>
        </is>
      </c>
      <c r="I194" s="6" t="inlineStr">
        <is>
          <t>B</t>
        </is>
      </c>
      <c r="J194" s="6" t="inlineStr">
        <is>
          <t>Not Run</t>
        </is>
      </c>
      <c r="K194" s="6" t="n"/>
      <c r="L194" s="6" t="n"/>
      <c r="M194" s="6" t="n"/>
      <c r="N194" s="6" t="n"/>
      <c r="O194" s="6" t="n"/>
      <c r="P194" s="6" t="n"/>
    </row>
    <row r="195">
      <c r="A195" s="6" t="inlineStr">
        <is>
          <t>TC-166</t>
        </is>
      </c>
      <c r="B195" s="6" t="inlineStr">
        <is>
          <t>TS-11</t>
        </is>
      </c>
      <c r="C195" s="6" t="inlineStr">
        <is>
          <t>A run with no captured turns, and an unknown run id, both degrade gracefully</t>
        </is>
      </c>
      <c r="D195" s="6" t="inlineStr">
        <is>
          <t>Negative</t>
        </is>
      </c>
      <c r="E195" s="6" t="inlineStr">
        <is>
          <t>Medium</t>
        </is>
      </c>
      <c r="F195" s="6" t="inlineStr">
        <is>
          <t>/transcripts/:id</t>
        </is>
      </c>
      <c r="G195" s="6" t="inlineStr">
        <is>
          <t>P1 Owner-Admin</t>
        </is>
      </c>
      <c r="H195" s="6" t="inlineStr">
        <is>
          <t>No</t>
        </is>
      </c>
      <c r="I195" s="6" t="inlineStr">
        <is>
          <t>B</t>
        </is>
      </c>
      <c r="J195" s="6" t="inlineStr">
        <is>
          <t>Not Run</t>
        </is>
      </c>
      <c r="K195" s="6" t="n"/>
      <c r="L195" s="6" t="n"/>
      <c r="M195" s="6" t="n"/>
      <c r="N195" s="6" t="n"/>
      <c r="O195" s="6" t="n"/>
      <c r="P195" s="6" t="n"/>
    </row>
    <row r="196">
      <c r="A196" s="6" t="inlineStr">
        <is>
          <t>TC-251</t>
        </is>
      </c>
      <c r="B196" s="6" t="inlineStr">
        <is>
          <t>TS-11</t>
        </is>
      </c>
      <c r="C196" s="6" t="inlineStr">
        <is>
          <t>A failed lineage request renders No lineage yet, not an error</t>
        </is>
      </c>
      <c r="D196" s="6" t="inlineStr">
        <is>
          <t>UX</t>
        </is>
      </c>
      <c r="E196" s="6" t="inlineStr">
        <is>
          <t>High</t>
        </is>
      </c>
      <c r="F196" s="6" t="inlineStr">
        <is>
          <t>/traceability</t>
        </is>
      </c>
      <c r="G196" s="6" t="inlineStr">
        <is>
          <t>P1 Owner-Admin</t>
        </is>
      </c>
      <c r="H196" s="6" t="inlineStr">
        <is>
          <t>No</t>
        </is>
      </c>
      <c r="I196" s="6" t="inlineStr">
        <is>
          <t>B</t>
        </is>
      </c>
      <c r="J196" s="6" t="inlineStr">
        <is>
          <t>Not Run</t>
        </is>
      </c>
      <c r="K196" s="6" t="n"/>
      <c r="L196" s="6" t="n"/>
      <c r="M196" s="6" t="n"/>
      <c r="N196" s="6" t="n"/>
      <c r="O196" s="6" t="n"/>
      <c r="P196" s="6" t="n"/>
    </row>
    <row r="197">
      <c r="A197" s="6" t="inlineStr">
        <is>
          <t>TC-252</t>
        </is>
      </c>
      <c r="B197" s="6" t="inlineStr">
        <is>
          <t>TS-11</t>
        </is>
      </c>
      <c r="C197" s="6" t="inlineStr">
        <is>
          <t>A failed runs request renders No transcripts yet, not an error</t>
        </is>
      </c>
      <c r="D197" s="6" t="inlineStr">
        <is>
          <t>UX</t>
        </is>
      </c>
      <c r="E197" s="6" t="inlineStr">
        <is>
          <t>Medium</t>
        </is>
      </c>
      <c r="F197" s="6" t="inlineStr">
        <is>
          <t>/transcripts</t>
        </is>
      </c>
      <c r="G197" s="6" t="inlineStr">
        <is>
          <t>P1 Owner-Admin</t>
        </is>
      </c>
      <c r="H197" s="6" t="inlineStr">
        <is>
          <t>No</t>
        </is>
      </c>
      <c r="I197" s="6" t="inlineStr">
        <is>
          <t>B</t>
        </is>
      </c>
      <c r="J197" s="6" t="inlineStr">
        <is>
          <t>Not Run</t>
        </is>
      </c>
      <c r="K197" s="6" t="n"/>
      <c r="L197" s="6" t="n"/>
      <c r="M197" s="6" t="n"/>
      <c r="N197" s="6" t="n"/>
      <c r="O197" s="6" t="n"/>
      <c r="P197" s="6" t="n"/>
    </row>
    <row r="198">
      <c r="A198" s="6" t="inlineStr">
        <is>
          <t>TC-167</t>
        </is>
      </c>
      <c r="B198" s="6" t="inlineStr">
        <is>
          <t>TS-12</t>
        </is>
      </c>
      <c r="C198" s="6" t="inlineStr">
        <is>
          <t>Every sidebar item navigates to its route and takes the active highlight</t>
        </is>
      </c>
      <c r="D198" s="6" t="inlineStr">
        <is>
          <t>Functional</t>
        </is>
      </c>
      <c r="E198" s="6" t="inlineStr">
        <is>
          <t>High</t>
        </is>
      </c>
      <c r="F198" s="6" t="inlineStr">
        <is>
          <t>All (app shell)</t>
        </is>
      </c>
      <c r="G198" s="6" t="inlineStr">
        <is>
          <t>P1 Owner-Admin</t>
        </is>
      </c>
      <c r="H198" s="6" t="inlineStr">
        <is>
          <t>No</t>
        </is>
      </c>
      <c r="I198" s="6" t="inlineStr">
        <is>
          <t>B</t>
        </is>
      </c>
      <c r="J198" s="6" t="inlineStr">
        <is>
          <t>Not Run</t>
        </is>
      </c>
      <c r="K198" s="6" t="n"/>
      <c r="L198" s="6" t="n"/>
      <c r="M198" s="6" t="n"/>
      <c r="N198" s="6" t="n"/>
      <c r="O198" s="6" t="n"/>
      <c r="P198" s="6" t="n"/>
    </row>
    <row r="199">
      <c r="A199" s="6" t="inlineStr">
        <is>
          <t>TC-168</t>
        </is>
      </c>
      <c r="B199" s="6" t="inlineStr">
        <is>
          <t>TS-12</t>
        </is>
      </c>
      <c r="C199" s="6" t="inlineStr">
        <is>
          <t>The Gates, Clarifications and bell badges match the project's open counts</t>
        </is>
      </c>
      <c r="D199" s="6" t="inlineStr">
        <is>
          <t>Functional</t>
        </is>
      </c>
      <c r="E199" s="6" t="inlineStr">
        <is>
          <t>Medium</t>
        </is>
      </c>
      <c r="F199" s="6" t="inlineStr">
        <is>
          <t>All (app shell) · /gates · /clarifications</t>
        </is>
      </c>
      <c r="G199" s="6" t="inlineStr">
        <is>
          <t>P1 Owner-Admin</t>
        </is>
      </c>
      <c r="H199" s="6" t="inlineStr">
        <is>
          <t>No</t>
        </is>
      </c>
      <c r="I199" s="6" t="inlineStr">
        <is>
          <t>B</t>
        </is>
      </c>
      <c r="J199" s="6" t="inlineStr">
        <is>
          <t>Not Run</t>
        </is>
      </c>
      <c r="K199" s="6" t="n"/>
      <c r="L199" s="6" t="n"/>
      <c r="M199" s="6" t="n"/>
      <c r="N199" s="6" t="n"/>
      <c r="O199" s="6" t="n"/>
      <c r="P199" s="6" t="n"/>
    </row>
    <row r="200">
      <c r="A200" s="6" t="inlineStr">
        <is>
          <t>TC-169</t>
        </is>
      </c>
      <c r="B200" s="6" t="inlineStr">
        <is>
          <t>TS-12</t>
        </is>
      </c>
      <c r="C200" s="6" t="inlineStr">
        <is>
          <t>A non-admin sees neither Test Reporting nor the Admin group</t>
        </is>
      </c>
      <c r="D200" s="6" t="inlineStr">
        <is>
          <t>Permission</t>
        </is>
      </c>
      <c r="E200" s="6" t="inlineStr">
        <is>
          <t>High</t>
        </is>
      </c>
      <c r="F200" s="6" t="inlineStr">
        <is>
          <t>All (app shell) · /admin/users · /test-reporting</t>
        </is>
      </c>
      <c r="G200" s="6" t="inlineStr">
        <is>
          <t>P10 Engineer</t>
        </is>
      </c>
      <c r="H200" s="6" t="inlineStr">
        <is>
          <t>No</t>
        </is>
      </c>
      <c r="I200" s="6" t="inlineStr">
        <is>
          <t>B</t>
        </is>
      </c>
      <c r="J200" s="6" t="inlineStr">
        <is>
          <t>Not Run</t>
        </is>
      </c>
      <c r="K200" s="6" t="n"/>
      <c r="L200" s="6" t="n"/>
      <c r="M200" s="6" t="n"/>
      <c r="N200" s="6" t="n"/>
      <c r="O200" s="6" t="n"/>
      <c r="P200" s="6" t="n"/>
    </row>
    <row r="201">
      <c r="A201" s="6" t="inlineStr">
        <is>
          <t>TC-170</t>
        </is>
      </c>
      <c r="B201" s="6" t="inlineStr">
        <is>
          <t>TS-12</t>
        </is>
      </c>
      <c r="C201" s="6" t="inlineStr">
        <is>
          <t>The top-bar project select switches project and the screens re-scope</t>
        </is>
      </c>
      <c r="D201" s="6" t="inlineStr">
        <is>
          <t>Functional</t>
        </is>
      </c>
      <c r="E201" s="6" t="inlineStr">
        <is>
          <t>High</t>
        </is>
      </c>
      <c r="F201" s="6" t="inlineStr">
        <is>
          <t>All (app shell) · / · /work-items · /artifacts</t>
        </is>
      </c>
      <c r="G201" s="6" t="inlineStr">
        <is>
          <t>P1 Owner-Admin</t>
        </is>
      </c>
      <c r="H201" s="6" t="inlineStr">
        <is>
          <t>No</t>
        </is>
      </c>
      <c r="I201" s="6" t="inlineStr">
        <is>
          <t>B</t>
        </is>
      </c>
      <c r="J201" s="6" t="inlineStr">
        <is>
          <t>Not Run</t>
        </is>
      </c>
      <c r="K201" s="6" t="n"/>
      <c r="L201" s="6" t="n"/>
      <c r="M201" s="6" t="n"/>
      <c r="N201" s="6" t="n"/>
      <c r="O201" s="6" t="n"/>
      <c r="P201" s="6" t="n"/>
    </row>
    <row r="202">
      <c r="A202" s="6" t="inlineStr">
        <is>
          <t>TC-171</t>
        </is>
      </c>
      <c r="B202" s="6" t="inlineStr">
        <is>
          <t>TS-12</t>
        </is>
      </c>
      <c r="C202" s="6" t="inlineStr">
        <is>
          <t>The avatar menu shows name and email, and Sign out works</t>
        </is>
      </c>
      <c r="D202" s="6" t="inlineStr">
        <is>
          <t>Functional</t>
        </is>
      </c>
      <c r="E202" s="6" t="inlineStr">
        <is>
          <t>High</t>
        </is>
      </c>
      <c r="F202" s="6" t="inlineStr">
        <is>
          <t>All (app shell) → /login</t>
        </is>
      </c>
      <c r="G202" s="6" t="inlineStr">
        <is>
          <t>P1 Owner-Admin</t>
        </is>
      </c>
      <c r="H202" s="6" t="inlineStr">
        <is>
          <t>No</t>
        </is>
      </c>
      <c r="I202" s="6" t="inlineStr">
        <is>
          <t>B</t>
        </is>
      </c>
      <c r="J202" s="6" t="inlineStr">
        <is>
          <t>Not Run</t>
        </is>
      </c>
      <c r="K202" s="6" t="n"/>
      <c r="L202" s="6" t="n"/>
      <c r="M202" s="6" t="n"/>
      <c r="N202" s="6" t="n"/>
      <c r="O202" s="6" t="n"/>
      <c r="P202" s="6" t="n"/>
    </row>
    <row r="203">
      <c r="A203" s="6" t="inlineStr">
        <is>
          <t>TC-172</t>
        </is>
      </c>
      <c r="B203" s="6" t="inlineStr">
        <is>
          <t>TS-12</t>
        </is>
      </c>
      <c r="C203" s="6" t="inlineStr">
        <is>
          <t>The account menu closes on Escape and on an outside click</t>
        </is>
      </c>
      <c r="D203" s="6" t="inlineStr">
        <is>
          <t>UX</t>
        </is>
      </c>
      <c r="E203" s="6" t="inlineStr">
        <is>
          <t>Medium</t>
        </is>
      </c>
      <c r="F203" s="6" t="inlineStr">
        <is>
          <t>All (app shell)</t>
        </is>
      </c>
      <c r="G203" s="6" t="inlineStr">
        <is>
          <t>P1 Owner-Admin</t>
        </is>
      </c>
      <c r="H203" s="6" t="inlineStr">
        <is>
          <t>No</t>
        </is>
      </c>
      <c r="I203" s="6" t="inlineStr">
        <is>
          <t>B</t>
        </is>
      </c>
      <c r="J203" s="6" t="inlineStr">
        <is>
          <t>Not Run</t>
        </is>
      </c>
      <c r="K203" s="6" t="n"/>
      <c r="L203" s="6" t="n"/>
      <c r="M203" s="6" t="n"/>
      <c r="N203" s="6" t="n"/>
      <c r="O203" s="6" t="n"/>
      <c r="P203" s="6" t="n"/>
    </row>
    <row r="204">
      <c r="A204" s="6" t="inlineStr">
        <is>
          <t>TC-173</t>
        </is>
      </c>
      <c r="B204" s="6" t="inlineStr">
        <is>
          <t>TS-12</t>
        </is>
      </c>
      <c r="C204" s="6" t="inlineStr">
        <is>
          <t>The companion pill appears in both the sidebar footer and the top bar</t>
        </is>
      </c>
      <c r="D204" s="6" t="inlineStr">
        <is>
          <t>UX</t>
        </is>
      </c>
      <c r="E204" s="6" t="inlineStr">
        <is>
          <t>Low</t>
        </is>
      </c>
      <c r="F204" s="6" t="inlineStr">
        <is>
          <t>All (app shell)</t>
        </is>
      </c>
      <c r="G204" s="6" t="inlineStr">
        <is>
          <t>P1 Owner-Admin</t>
        </is>
      </c>
      <c r="H204" s="6" t="inlineStr">
        <is>
          <t>No</t>
        </is>
      </c>
      <c r="I204" s="6" t="inlineStr">
        <is>
          <t>B</t>
        </is>
      </c>
      <c r="J204" s="6" t="inlineStr">
        <is>
          <t>Not Run</t>
        </is>
      </c>
      <c r="K204" s="6" t="n"/>
      <c r="L204" s="6" t="n"/>
      <c r="M204" s="6" t="n"/>
      <c r="N204" s="6" t="n"/>
      <c r="O204" s="6" t="n"/>
      <c r="P204" s="6" t="n"/>
    </row>
    <row r="205">
      <c r="A205" s="6" t="inlineStr">
        <is>
          <t>TC-174</t>
        </is>
      </c>
      <c r="B205" s="6" t="inlineStr">
        <is>
          <t>TS-12</t>
        </is>
      </c>
      <c r="C205" s="6" t="inlineStr">
        <is>
          <t>The dashboard greeting changes when something needs you</t>
        </is>
      </c>
      <c r="D205" s="6" t="inlineStr">
        <is>
          <t>UX</t>
        </is>
      </c>
      <c r="E205" s="6" t="inlineStr">
        <is>
          <t>High</t>
        </is>
      </c>
      <c r="F205" s="6" t="inlineStr">
        <is>
          <t>/</t>
        </is>
      </c>
      <c r="G205" s="6" t="inlineStr">
        <is>
          <t>P1 Owner-Admin</t>
        </is>
      </c>
      <c r="H205" s="6" t="inlineStr">
        <is>
          <t>No</t>
        </is>
      </c>
      <c r="I205" s="6" t="inlineStr">
        <is>
          <t>B</t>
        </is>
      </c>
      <c r="J205" s="6" t="inlineStr">
        <is>
          <t>Not Run</t>
        </is>
      </c>
      <c r="K205" s="6" t="n"/>
      <c r="L205" s="6" t="n"/>
      <c r="M205" s="6" t="n"/>
      <c r="N205" s="6" t="n"/>
      <c r="O205" s="6" t="n"/>
      <c r="P205" s="6" t="n"/>
    </row>
    <row r="206">
      <c r="A206" s="6" t="inlineStr">
        <is>
          <t>TC-175</t>
        </is>
      </c>
      <c r="B206" s="6" t="inlineStr">
        <is>
          <t>TS-12</t>
        </is>
      </c>
      <c r="C206" s="6" t="inlineStr">
        <is>
          <t>The three tiles and the Needs me rows, and their actions, navigate correctly</t>
        </is>
      </c>
      <c r="D206" s="6" t="inlineStr">
        <is>
          <t>Functional</t>
        </is>
      </c>
      <c r="E206" s="6" t="inlineStr">
        <is>
          <t>High</t>
        </is>
      </c>
      <c r="F206" s="6" t="inlineStr">
        <is>
          <t>/ → /gates · /clarifications · /runs/:id</t>
        </is>
      </c>
      <c r="G206" s="6" t="inlineStr">
        <is>
          <t>P1 Owner-Admin</t>
        </is>
      </c>
      <c r="H206" s="6" t="inlineStr">
        <is>
          <t>No</t>
        </is>
      </c>
      <c r="I206" s="6" t="inlineStr">
        <is>
          <t>B</t>
        </is>
      </c>
      <c r="J206" s="6" t="inlineStr">
        <is>
          <t>Not Run</t>
        </is>
      </c>
      <c r="K206" s="6" t="n"/>
      <c r="L206" s="6" t="n"/>
      <c r="M206" s="6" t="n"/>
      <c r="N206" s="6" t="n"/>
      <c r="O206" s="6" t="n"/>
      <c r="P206" s="6" t="n"/>
    </row>
    <row r="207">
      <c r="A207" s="6" t="inlineStr">
        <is>
          <t>TC-176</t>
        </is>
      </c>
      <c r="B207" s="6" t="inlineStr">
        <is>
          <t>TS-12</t>
        </is>
      </c>
      <c r="C207" s="6" t="inlineStr">
        <is>
          <t>The calm dashboard: all caught up, health rows, and nothing published</t>
        </is>
      </c>
      <c r="D207" s="6" t="inlineStr">
        <is>
          <t>UX</t>
        </is>
      </c>
      <c r="E207" s="6" t="inlineStr">
        <is>
          <t>Medium</t>
        </is>
      </c>
      <c r="F207" s="6" t="inlineStr">
        <is>
          <t>/</t>
        </is>
      </c>
      <c r="G207" s="6" t="inlineStr">
        <is>
          <t>P1 Owner-Admin</t>
        </is>
      </c>
      <c r="H207" s="6" t="inlineStr">
        <is>
          <t>No</t>
        </is>
      </c>
      <c r="I207" s="6" t="inlineStr">
        <is>
          <t>B</t>
        </is>
      </c>
      <c r="J207" s="6" t="inlineStr">
        <is>
          <t>Not Run</t>
        </is>
      </c>
      <c r="K207" s="6" t="n"/>
      <c r="L207" s="6" t="n"/>
      <c r="M207" s="6" t="n"/>
      <c r="N207" s="6" t="n"/>
      <c r="O207" s="6" t="n"/>
      <c r="P207" s="6" t="n"/>
    </row>
    <row r="208">
      <c r="A208" s="6" t="inlineStr">
        <is>
          <t>TC-177</t>
        </is>
      </c>
      <c r="B208" s="6" t="inlineStr">
        <is>
          <t>TS-12</t>
        </is>
      </c>
      <c r="C208" s="6" t="inlineStr">
        <is>
          <t>With no project selected the dashboard shows the Get started panel</t>
        </is>
      </c>
      <c r="D208" s="6" t="inlineStr">
        <is>
          <t>UX</t>
        </is>
      </c>
      <c r="E208" s="6" t="inlineStr">
        <is>
          <t>Medium</t>
        </is>
      </c>
      <c r="F208" s="6" t="inlineStr">
        <is>
          <t>/</t>
        </is>
      </c>
      <c r="G208" s="6" t="inlineStr">
        <is>
          <t>P1 Owner-Admin</t>
        </is>
      </c>
      <c r="H208" s="6" t="inlineStr">
        <is>
          <t>No</t>
        </is>
      </c>
      <c r="I208" s="6" t="inlineStr">
        <is>
          <t>B</t>
        </is>
      </c>
      <c r="J208" s="6" t="inlineStr">
        <is>
          <t>Not Run</t>
        </is>
      </c>
      <c r="K208" s="6" t="n"/>
      <c r="L208" s="6" t="n"/>
      <c r="M208" s="6" t="n"/>
      <c r="N208" s="6" t="n"/>
      <c r="O208" s="6" t="n"/>
      <c r="P208" s="6" t="n"/>
    </row>
    <row r="209">
      <c r="A209" s="6" t="inlineStr">
        <is>
          <t>TC-178</t>
        </is>
      </c>
      <c r="B209" s="6" t="inlineStr">
        <is>
          <t>TS-12</t>
        </is>
      </c>
      <c r="C209" s="6" t="inlineStr">
        <is>
          <t>An unknown URL redirects to / — there is no 404 page</t>
        </is>
      </c>
      <c r="D209" s="6" t="inlineStr">
        <is>
          <t>UX</t>
        </is>
      </c>
      <c r="E209" s="6" t="inlineStr">
        <is>
          <t>Medium</t>
        </is>
      </c>
      <c r="F209" s="6" t="inlineStr">
        <is>
          <t>any unknown route → /</t>
        </is>
      </c>
      <c r="G209" s="6" t="inlineStr">
        <is>
          <t>P1 Owner-Admin</t>
        </is>
      </c>
      <c r="H209" s="6" t="inlineStr">
        <is>
          <t>Yes</t>
        </is>
      </c>
      <c r="I209" s="6" t="inlineStr">
        <is>
          <t>B</t>
        </is>
      </c>
      <c r="J209" s="6" t="inlineStr">
        <is>
          <t>Not Run</t>
        </is>
      </c>
      <c r="K209" s="6" t="n"/>
      <c r="L209" s="6" t="n"/>
      <c r="M209" s="6" t="n"/>
      <c r="N209" s="6" t="n"/>
      <c r="O209" s="6" t="n"/>
      <c r="P209" s="6" t="n"/>
    </row>
    <row r="210">
      <c r="A210" s="6" t="inlineStr">
        <is>
          <t>TC-179</t>
        </is>
      </c>
      <c r="B210" s="6" t="inlineStr">
        <is>
          <t>TS-12</t>
        </is>
      </c>
      <c r="C210" s="6" t="inlineStr">
        <is>
          <t>The tenant switcher and the notification bell are inert</t>
        </is>
      </c>
      <c r="D210" s="6" t="inlineStr">
        <is>
          <t>UX</t>
        </is>
      </c>
      <c r="E210" s="6" t="inlineStr">
        <is>
          <t>Low</t>
        </is>
      </c>
      <c r="F210" s="6" t="inlineStr">
        <is>
          <t>All (app shell)</t>
        </is>
      </c>
      <c r="G210" s="6" t="inlineStr">
        <is>
          <t>P1 Owner-Admin</t>
        </is>
      </c>
      <c r="H210" s="6" t="inlineStr">
        <is>
          <t>No</t>
        </is>
      </c>
      <c r="I210" s="6" t="inlineStr">
        <is>
          <t>B</t>
        </is>
      </c>
      <c r="J210" s="6" t="inlineStr">
        <is>
          <t>Not Run</t>
        </is>
      </c>
      <c r="K210" s="6" t="n"/>
      <c r="L210" s="6" t="n"/>
      <c r="M210" s="6" t="n"/>
      <c r="N210" s="6" t="n"/>
      <c r="O210" s="6" t="n"/>
      <c r="P210" s="6" t="n"/>
    </row>
    <row r="211">
      <c r="A211" s="6" t="inlineStr">
        <is>
          <t>TC-180</t>
        </is>
      </c>
      <c r="B211" s="6" t="inlineStr">
        <is>
          <t>TS-12</t>
        </is>
      </c>
      <c r="C211" s="6" t="inlineStr">
        <is>
          <t>/dev/components is reachable without logging in and is linked from nowhere</t>
        </is>
      </c>
      <c r="D211" s="6" t="inlineStr">
        <is>
          <t>Permission</t>
        </is>
      </c>
      <c r="E211" s="6" t="inlineStr">
        <is>
          <t>Low</t>
        </is>
      </c>
      <c r="F211" s="6" t="inlineStr">
        <is>
          <t>/dev/components</t>
        </is>
      </c>
      <c r="G211" s="6" t="inlineStr">
        <is>
          <t>Any</t>
        </is>
      </c>
      <c r="H211" s="6" t="inlineStr">
        <is>
          <t>No</t>
        </is>
      </c>
      <c r="I211" s="6" t="inlineStr">
        <is>
          <t>B</t>
        </is>
      </c>
      <c r="J211" s="6" t="inlineStr">
        <is>
          <t>Not Run</t>
        </is>
      </c>
      <c r="K211" s="6" t="n"/>
      <c r="L211" s="6" t="n"/>
      <c r="M211" s="6" t="n"/>
      <c r="N211" s="6" t="n"/>
      <c r="O211" s="6" t="n"/>
      <c r="P211" s="6" t="n"/>
    </row>
    <row r="212">
      <c r="A212" s="6" t="inlineStr">
        <is>
          <t>TC-261</t>
        </is>
      </c>
      <c r="B212" s="6" t="inlineStr">
        <is>
          <t>TS-12</t>
        </is>
      </c>
      <c r="C212" s="6" t="inlineStr">
        <is>
          <t>A failed dashboard request renders a calm, all-zero dashboard</t>
        </is>
      </c>
      <c r="D212" s="6" t="inlineStr">
        <is>
          <t>UX</t>
        </is>
      </c>
      <c r="E212" s="6" t="inlineStr">
        <is>
          <t>High</t>
        </is>
      </c>
      <c r="F212" s="6" t="inlineStr">
        <is>
          <t>/</t>
        </is>
      </c>
      <c r="G212" s="6" t="inlineStr">
        <is>
          <t>P1 Owner-Admin</t>
        </is>
      </c>
      <c r="H212" s="6" t="inlineStr">
        <is>
          <t>No</t>
        </is>
      </c>
      <c r="I212" s="6" t="inlineStr">
        <is>
          <t>B</t>
        </is>
      </c>
      <c r="J212" s="6" t="inlineStr">
        <is>
          <t>Not Run</t>
        </is>
      </c>
      <c r="K212" s="6" t="n"/>
      <c r="L212" s="6" t="n"/>
      <c r="M212" s="6" t="n"/>
      <c r="N212" s="6" t="n"/>
      <c r="O212" s="6" t="n"/>
      <c r="P212" s="6" t="n"/>
    </row>
    <row r="213">
      <c r="A213" s="6" t="inlineStr">
        <is>
          <t>TC-262</t>
        </is>
      </c>
      <c r="B213" s="6" t="inlineStr">
        <is>
          <t>TS-12</t>
        </is>
      </c>
      <c r="C213" s="6" t="inlineStr">
        <is>
          <t>/onboarding tells a greenfield project it is brownfield</t>
        </is>
      </c>
      <c r="D213" s="6" t="inlineStr">
        <is>
          <t>UX</t>
        </is>
      </c>
      <c r="E213" s="6" t="inlineStr">
        <is>
          <t>Medium</t>
        </is>
      </c>
      <c r="F213" s="6" t="inlineStr">
        <is>
          <t>/onboarding</t>
        </is>
      </c>
      <c r="G213" s="6" t="inlineStr">
        <is>
          <t>P1 Owner-Admin</t>
        </is>
      </c>
      <c r="H213" s="6" t="inlineStr">
        <is>
          <t>No</t>
        </is>
      </c>
      <c r="I213" s="6" t="inlineStr">
        <is>
          <t>B</t>
        </is>
      </c>
      <c r="J213" s="6" t="inlineStr">
        <is>
          <t>Not Run</t>
        </is>
      </c>
      <c r="K213" s="6" t="n"/>
      <c r="L213" s="6" t="n"/>
      <c r="M213" s="6" t="n"/>
      <c r="N213" s="6" t="n"/>
      <c r="O213" s="6" t="n"/>
      <c r="P213" s="6" t="n"/>
    </row>
    <row r="214">
      <c r="A214" s="6" t="inlineStr">
        <is>
          <t>TC-263</t>
        </is>
      </c>
      <c r="B214" s="6" t="inlineStr">
        <is>
          <t>TS-12</t>
        </is>
      </c>
      <c r="C214" s="6" t="inlineStr">
        <is>
          <t>The project selector lists one option per role grant, so a two-role user sees duplicates</t>
        </is>
      </c>
      <c r="D214" s="6" t="inlineStr">
        <is>
          <t>UX</t>
        </is>
      </c>
      <c r="E214" s="6" t="inlineStr">
        <is>
          <t>Medium</t>
        </is>
      </c>
      <c r="F214" s="6" t="inlineStr">
        <is>
          <t>All (app shell)</t>
        </is>
      </c>
      <c r="G214" s="6" t="inlineStr">
        <is>
          <t>P1 Owner-Admin</t>
        </is>
      </c>
      <c r="H214" s="6" t="inlineStr">
        <is>
          <t>No</t>
        </is>
      </c>
      <c r="I214" s="6" t="inlineStr">
        <is>
          <t>B</t>
        </is>
      </c>
      <c r="J214" s="6" t="inlineStr">
        <is>
          <t>Not Run</t>
        </is>
      </c>
      <c r="K214" s="6" t="n"/>
      <c r="L214" s="6" t="n"/>
      <c r="M214" s="6" t="n"/>
      <c r="N214" s="6" t="n"/>
      <c r="O214" s="6" t="n"/>
      <c r="P214" s="6" t="n"/>
    </row>
    <row r="215">
      <c r="A215" s="6" t="inlineStr">
        <is>
          <t>TC-264</t>
        </is>
      </c>
      <c r="B215" s="6" t="inlineStr">
        <is>
          <t>TS-12</t>
        </is>
      </c>
      <c r="C215" s="6" t="inlineStr">
        <is>
          <t>An unknown /admin/* route falls through to a developer placeholder</t>
        </is>
      </c>
      <c r="D215" s="6" t="inlineStr">
        <is>
          <t>Negative</t>
        </is>
      </c>
      <c r="E215" s="6" t="inlineStr">
        <is>
          <t>Medium</t>
        </is>
      </c>
      <c r="F215" s="6" t="inlineStr">
        <is>
          <t>/admin/:anything</t>
        </is>
      </c>
      <c r="G215" s="6" t="inlineStr">
        <is>
          <t>P1 Owner-Admin</t>
        </is>
      </c>
      <c r="H215" s="6" t="inlineStr">
        <is>
          <t>Yes</t>
        </is>
      </c>
      <c r="I215" s="6" t="inlineStr">
        <is>
          <t>B</t>
        </is>
      </c>
      <c r="J215" s="6" t="inlineStr">
        <is>
          <t>Not Run</t>
        </is>
      </c>
      <c r="K215" s="6" t="n"/>
      <c r="L215" s="6" t="n"/>
      <c r="M215" s="6" t="n"/>
      <c r="N215" s="6" t="n"/>
      <c r="O215" s="6" t="n"/>
      <c r="P215" s="6" t="n"/>
    </row>
    <row r="216">
      <c r="A216" s="6" t="inlineStr">
        <is>
          <t>TC-265</t>
        </is>
      </c>
      <c r="B216" s="6" t="inlineStr">
        <is>
          <t>TS-12</t>
        </is>
      </c>
      <c r="C216" s="6" t="inlineStr">
        <is>
          <t>The Admin access needed panel also guards /test-reporting, and its copy does not say so</t>
        </is>
      </c>
      <c r="D216" s="6" t="inlineStr">
        <is>
          <t>Permission</t>
        </is>
      </c>
      <c r="E216" s="6" t="inlineStr">
        <is>
          <t>Medium</t>
        </is>
      </c>
      <c r="F216" s="6" t="inlineStr">
        <is>
          <t>/test-reporting · /admin/users · /admin/roles</t>
        </is>
      </c>
      <c r="G216" s="6" t="inlineStr">
        <is>
          <t>P10 Engineer</t>
        </is>
      </c>
      <c r="H216" s="6" t="inlineStr">
        <is>
          <t>No</t>
        </is>
      </c>
      <c r="I216" s="6" t="inlineStr">
        <is>
          <t>B</t>
        </is>
      </c>
      <c r="J216" s="6" t="inlineStr">
        <is>
          <t>Not Run</t>
        </is>
      </c>
      <c r="K216" s="6" t="n"/>
      <c r="L216" s="6" t="n"/>
      <c r="M216" s="6" t="n"/>
      <c r="N216" s="6" t="n"/>
      <c r="O216" s="6" t="n"/>
      <c r="P216" s="6" t="n"/>
    </row>
    <row r="217">
      <c r="A217" s="6" t="inlineStr">
        <is>
          <t>TC-181</t>
        </is>
      </c>
      <c r="B217" s="6" t="inlineStr">
        <is>
          <t>TS-13</t>
        </is>
      </c>
      <c r="C217" s="6" t="inlineStr">
        <is>
          <t>The Test cases button on an epic opens the story's test-case screen</t>
        </is>
      </c>
      <c r="D217" s="6" t="inlineStr">
        <is>
          <t>Functional</t>
        </is>
      </c>
      <c r="E217" s="6" t="inlineStr">
        <is>
          <t>High</t>
        </is>
      </c>
      <c r="F217" s="6" t="inlineStr">
        <is>
          <t>/work-items/:id, /work-items/:id/test-cases</t>
        </is>
      </c>
      <c r="G217" s="6" t="inlineStr">
        <is>
          <t>P1 Owner-Admin</t>
        </is>
      </c>
      <c r="H217" s="6" t="inlineStr">
        <is>
          <t>Yes</t>
        </is>
      </c>
      <c r="I217" s="6" t="inlineStr">
        <is>
          <t>B</t>
        </is>
      </c>
      <c r="J217" s="6" t="inlineStr">
        <is>
          <t>Not Run</t>
        </is>
      </c>
      <c r="K217" s="6" t="n"/>
      <c r="L217" s="6" t="n"/>
      <c r="M217" s="6" t="n"/>
      <c r="N217" s="6" t="n"/>
      <c r="O217" s="6" t="n"/>
      <c r="P217" s="6" t="n"/>
    </row>
    <row r="218">
      <c r="A218" s="6" t="inlineStr">
        <is>
          <t>TC-182</t>
        </is>
      </c>
      <c r="B218" s="6" t="inlineStr">
        <is>
          <t>TS-13</t>
        </is>
      </c>
      <c r="C218" s="6" t="inlineStr">
        <is>
          <t>Empty state on a story with no test cases</t>
        </is>
      </c>
      <c r="D218" s="6" t="inlineStr">
        <is>
          <t>UX</t>
        </is>
      </c>
      <c r="E218" s="6" t="inlineStr">
        <is>
          <t>Medium</t>
        </is>
      </c>
      <c r="F218" s="6" t="inlineStr">
        <is>
          <t>/work-items/:id/test-cases</t>
        </is>
      </c>
      <c r="G218" s="6" t="inlineStr">
        <is>
          <t>P1 Owner-Admin</t>
        </is>
      </c>
      <c r="H218" s="6" t="inlineStr">
        <is>
          <t>Yes</t>
        </is>
      </c>
      <c r="I218" s="6" t="inlineStr">
        <is>
          <t>B</t>
        </is>
      </c>
      <c r="J218" s="6" t="inlineStr">
        <is>
          <t>Not Run</t>
        </is>
      </c>
      <c r="K218" s="6" t="n"/>
      <c r="L218" s="6" t="n"/>
      <c r="M218" s="6" t="n"/>
      <c r="N218" s="6" t="n"/>
      <c r="O218" s="6" t="n"/>
      <c r="P218" s="6" t="n"/>
    </row>
    <row r="219">
      <c r="A219" s="6" t="inlineStr">
        <is>
          <t>TC-183</t>
        </is>
      </c>
      <c r="B219" s="6" t="inlineStr">
        <is>
          <t>TS-13</t>
        </is>
      </c>
      <c r="C219" s="6" t="inlineStr">
        <is>
          <t>Add a test case by hand and see it in the table</t>
        </is>
      </c>
      <c r="D219" s="6" t="inlineStr">
        <is>
          <t>Functional</t>
        </is>
      </c>
      <c r="E219" s="6" t="inlineStr">
        <is>
          <t>High</t>
        </is>
      </c>
      <c r="F219" s="6" t="inlineStr">
        <is>
          <t>/work-items/:id/test-cases</t>
        </is>
      </c>
      <c r="G219" s="6" t="inlineStr">
        <is>
          <t>P1 Owner-Admin</t>
        </is>
      </c>
      <c r="H219" s="6" t="inlineStr">
        <is>
          <t>Yes</t>
        </is>
      </c>
      <c r="I219" s="6" t="inlineStr">
        <is>
          <t>B</t>
        </is>
      </c>
      <c r="J219" s="6" t="inlineStr">
        <is>
          <t>Not Run</t>
        </is>
      </c>
      <c r="K219" s="6" t="n"/>
      <c r="L219" s="6" t="n"/>
      <c r="M219" s="6" t="n"/>
      <c r="N219" s="6" t="n"/>
      <c r="O219" s="6" t="n"/>
      <c r="P219" s="6" t="n"/>
    </row>
    <row r="220">
      <c r="A220" s="6" t="inlineStr">
        <is>
          <t>TC-184</t>
        </is>
      </c>
      <c r="B220" s="6" t="inlineStr">
        <is>
          <t>TS-13</t>
        </is>
      </c>
      <c r="C220" s="6" t="inlineStr">
        <is>
          <t>Add test case is blocked with an empty Title</t>
        </is>
      </c>
      <c r="D220" s="6" t="inlineStr">
        <is>
          <t>Negative</t>
        </is>
      </c>
      <c r="E220" s="6" t="inlineStr">
        <is>
          <t>Medium</t>
        </is>
      </c>
      <c r="F220" s="6" t="inlineStr">
        <is>
          <t>/work-items/:id/test-cases</t>
        </is>
      </c>
      <c r="G220" s="6" t="inlineStr">
        <is>
          <t>P1 Owner-Admin</t>
        </is>
      </c>
      <c r="H220" s="6" t="inlineStr">
        <is>
          <t>Yes</t>
        </is>
      </c>
      <c r="I220" s="6" t="inlineStr">
        <is>
          <t>B</t>
        </is>
      </c>
      <c r="J220" s="6" t="inlineStr">
        <is>
          <t>Not Run</t>
        </is>
      </c>
      <c r="K220" s="6" t="n"/>
      <c r="L220" s="6" t="n"/>
      <c r="M220" s="6" t="n"/>
      <c r="N220" s="6" t="n"/>
      <c r="O220" s="6" t="n"/>
      <c r="P220" s="6" t="n"/>
    </row>
    <row r="221">
      <c r="A221" s="6" t="inlineStr">
        <is>
          <t>TC-185</t>
        </is>
      </c>
      <c r="B221" s="6" t="inlineStr">
        <is>
          <t>TS-13</t>
        </is>
      </c>
      <c r="C221" s="6" t="inlineStr">
        <is>
          <t>A failing create shows Couldn't add the test case.</t>
        </is>
      </c>
      <c r="D221" s="6" t="inlineStr">
        <is>
          <t>Negative</t>
        </is>
      </c>
      <c r="E221" s="6" t="inlineStr">
        <is>
          <t>Medium</t>
        </is>
      </c>
      <c r="F221" s="6" t="inlineStr">
        <is>
          <t>/work-items/:id/test-cases</t>
        </is>
      </c>
      <c r="G221" s="6" t="inlineStr">
        <is>
          <t>P1 Owner-Admin</t>
        </is>
      </c>
      <c r="H221" s="6" t="inlineStr">
        <is>
          <t>No</t>
        </is>
      </c>
      <c r="I221" s="6" t="inlineStr">
        <is>
          <t>B</t>
        </is>
      </c>
      <c r="J221" s="6" t="inlineStr">
        <is>
          <t>Not Run</t>
        </is>
      </c>
      <c r="K221" s="6" t="n"/>
      <c r="L221" s="6" t="n"/>
      <c r="M221" s="6" t="n"/>
      <c r="N221" s="6" t="n"/>
      <c r="O221" s="6" t="n"/>
      <c r="P221" s="6" t="n"/>
    </row>
    <row r="222">
      <c r="A222" s="6" t="inlineStr">
        <is>
          <t>TC-186</t>
        </is>
      </c>
      <c r="B222" s="6" t="inlineStr">
        <is>
          <t>TS-13</t>
        </is>
      </c>
      <c r="C222" s="6" t="inlineStr">
        <is>
          <t>Automation badges, row actions and the N of M automated counter</t>
        </is>
      </c>
      <c r="D222" s="6" t="inlineStr">
        <is>
          <t>UX</t>
        </is>
      </c>
      <c r="E222" s="6" t="inlineStr">
        <is>
          <t>High</t>
        </is>
      </c>
      <c r="F222" s="6" t="inlineStr">
        <is>
          <t>/work-items/:id/test-cases</t>
        </is>
      </c>
      <c r="G222" s="6" t="inlineStr">
        <is>
          <t>P1 Owner-Admin</t>
        </is>
      </c>
      <c r="H222" s="6" t="inlineStr">
        <is>
          <t>No</t>
        </is>
      </c>
      <c r="I222" s="6" t="inlineStr">
        <is>
          <t>B</t>
        </is>
      </c>
      <c r="J222" s="6" t="inlineStr">
        <is>
          <t>Not Run</t>
        </is>
      </c>
      <c r="K222" s="6" t="n"/>
      <c r="L222" s="6" t="n"/>
      <c r="M222" s="6" t="n"/>
      <c r="N222" s="6" t="n"/>
      <c r="O222" s="6" t="n"/>
      <c r="P222" s="6" t="n"/>
    </row>
    <row r="223">
      <c r="A223" s="6" t="inlineStr">
        <is>
          <t>TC-187</t>
        </is>
      </c>
      <c r="B223" s="6" t="inlineStr">
        <is>
          <t>TS-13</t>
        </is>
      </c>
      <c r="C223" s="6" t="inlineStr">
        <is>
          <t>Generate script triggers a Test Automation run for that test case</t>
        </is>
      </c>
      <c r="D223" s="6" t="inlineStr">
        <is>
          <t>Functional</t>
        </is>
      </c>
      <c r="E223" s="6" t="inlineStr">
        <is>
          <t>High</t>
        </is>
      </c>
      <c r="F223" s="6" t="inlineStr">
        <is>
          <t>/work-items/:id/test-cases, /runs</t>
        </is>
      </c>
      <c r="G223" s="6" t="inlineStr">
        <is>
          <t>P1 Owner-Admin</t>
        </is>
      </c>
      <c r="H223" s="6" t="inlineStr">
        <is>
          <t>No</t>
        </is>
      </c>
      <c r="I223" s="6" t="inlineStr">
        <is>
          <t>B</t>
        </is>
      </c>
      <c r="J223" s="6" t="inlineStr">
        <is>
          <t>Not Run</t>
        </is>
      </c>
      <c r="K223" s="6" t="n"/>
      <c r="L223" s="6" t="n"/>
      <c r="M223" s="6" t="n"/>
      <c r="N223" s="6" t="n"/>
      <c r="O223" s="6" t="n"/>
      <c r="P223" s="6" t="n"/>
    </row>
    <row r="224">
      <c r="A224" s="6" t="inlineStr">
        <is>
          <t>TC-188</t>
        </is>
      </c>
      <c r="B224" s="6" t="inlineStr">
        <is>
          <t>TS-13</t>
        </is>
      </c>
      <c r="C224" s="6" t="inlineStr">
        <is>
          <t>/test-reporting is admin-only</t>
        </is>
      </c>
      <c r="D224" s="6" t="inlineStr">
        <is>
          <t>Permission</t>
        </is>
      </c>
      <c r="E224" s="6" t="inlineStr">
        <is>
          <t>High</t>
        </is>
      </c>
      <c r="F224" s="6" t="inlineStr">
        <is>
          <t>/test-reporting</t>
        </is>
      </c>
      <c r="G224" s="6" t="inlineStr">
        <is>
          <t>P10 Engineer</t>
        </is>
      </c>
      <c r="H224" s="6" t="inlineStr">
        <is>
          <t>Yes</t>
        </is>
      </c>
      <c r="I224" s="6" t="inlineStr">
        <is>
          <t>B</t>
        </is>
      </c>
      <c r="J224" s="6" t="inlineStr">
        <is>
          <t>Not Run</t>
        </is>
      </c>
      <c r="K224" s="6" t="n"/>
      <c r="L224" s="6" t="n"/>
      <c r="M224" s="6" t="n"/>
      <c r="N224" s="6" t="n"/>
      <c r="O224" s="6" t="n"/>
      <c r="P224" s="6" t="n"/>
    </row>
    <row r="225">
      <c r="A225" s="6" t="inlineStr">
        <is>
          <t>TC-189</t>
        </is>
      </c>
      <c r="B225" s="6" t="inlineStr">
        <is>
          <t>TS-13</t>
        </is>
      </c>
      <c r="C225" s="6" t="inlineStr">
        <is>
          <t>No-project guard on /test-reporting</t>
        </is>
      </c>
      <c r="D225" s="6" t="inlineStr">
        <is>
          <t>Negative</t>
        </is>
      </c>
      <c r="E225" s="6" t="inlineStr">
        <is>
          <t>Medium</t>
        </is>
      </c>
      <c r="F225" s="6" t="inlineStr">
        <is>
          <t>/test-reporting</t>
        </is>
      </c>
      <c r="G225" s="6" t="inlineStr">
        <is>
          <t>P1 Owner-Admin</t>
        </is>
      </c>
      <c r="H225" s="6" t="inlineStr">
        <is>
          <t>Yes</t>
        </is>
      </c>
      <c r="I225" s="6" t="inlineStr">
        <is>
          <t>B</t>
        </is>
      </c>
      <c r="J225" s="6" t="inlineStr">
        <is>
          <t>Not Run</t>
        </is>
      </c>
      <c r="K225" s="6" t="n"/>
      <c r="L225" s="6" t="n"/>
      <c r="M225" s="6" t="n"/>
      <c r="N225" s="6" t="n"/>
      <c r="O225" s="6" t="n"/>
      <c r="P225" s="6" t="n"/>
    </row>
    <row r="226">
      <c r="A226" s="6" t="inlineStr">
        <is>
          <t>TC-190</t>
        </is>
      </c>
      <c r="B226" s="6" t="inlineStr">
        <is>
          <t>TS-13</t>
        </is>
      </c>
      <c r="C226" s="6" t="inlineStr">
        <is>
          <t>No tokens yet empty state</t>
        </is>
      </c>
      <c r="D226" s="6" t="inlineStr">
        <is>
          <t>UX</t>
        </is>
      </c>
      <c r="E226" s="6" t="inlineStr">
        <is>
          <t>Medium</t>
        </is>
      </c>
      <c r="F226" s="6" t="inlineStr">
        <is>
          <t>/test-reporting</t>
        </is>
      </c>
      <c r="G226" s="6" t="inlineStr">
        <is>
          <t>P1 Owner-Admin</t>
        </is>
      </c>
      <c r="H226" s="6" t="inlineStr">
        <is>
          <t>Yes</t>
        </is>
      </c>
      <c r="I226" s="6" t="inlineStr">
        <is>
          <t>B</t>
        </is>
      </c>
      <c r="J226" s="6" t="inlineStr">
        <is>
          <t>Not Run</t>
        </is>
      </c>
      <c r="K226" s="6" t="n"/>
      <c r="L226" s="6" t="n"/>
      <c r="M226" s="6" t="n"/>
      <c r="N226" s="6" t="n"/>
      <c r="O226" s="6" t="n"/>
      <c r="P226" s="6" t="n"/>
    </row>
    <row r="227">
      <c r="A227" s="6" t="inlineStr">
        <is>
          <t>TC-191</t>
        </is>
      </c>
      <c r="B227" s="6" t="inlineStr">
        <is>
          <t>TS-13</t>
        </is>
      </c>
      <c r="C227" s="6" t="inlineStr">
        <is>
          <t>Issue a CI token — shown once, with the copy-now warning and the CI snippet</t>
        </is>
      </c>
      <c r="D227" s="6" t="inlineStr">
        <is>
          <t>Functional</t>
        </is>
      </c>
      <c r="E227" s="6" t="inlineStr">
        <is>
          <t>Critical</t>
        </is>
      </c>
      <c r="F227" s="6" t="inlineStr">
        <is>
          <t>/test-reporting</t>
        </is>
      </c>
      <c r="G227" s="6" t="inlineStr">
        <is>
          <t>P1 Owner-Admin</t>
        </is>
      </c>
      <c r="H227" s="6" t="inlineStr">
        <is>
          <t>No</t>
        </is>
      </c>
      <c r="I227" s="6" t="inlineStr">
        <is>
          <t>B</t>
        </is>
      </c>
      <c r="J227" s="6" t="inlineStr">
        <is>
          <t>Not Run</t>
        </is>
      </c>
      <c r="K227" s="6" t="n"/>
      <c r="L227" s="6" t="n"/>
      <c r="M227" s="6" t="n"/>
      <c r="N227" s="6" t="n"/>
      <c r="O227" s="6" t="n"/>
      <c r="P227" s="6" t="n"/>
    </row>
    <row r="228">
      <c r="A228" s="6" t="inlineStr">
        <is>
          <t>TC-192</t>
        </is>
      </c>
      <c r="B228" s="6" t="inlineStr">
        <is>
          <t>TS-13</t>
        </is>
      </c>
      <c r="C228" s="6" t="inlineStr">
        <is>
          <t>Revoke a token through the Revoke token? modal</t>
        </is>
      </c>
      <c r="D228" s="6" t="inlineStr">
        <is>
          <t>Functional</t>
        </is>
      </c>
      <c r="E228" s="6" t="inlineStr">
        <is>
          <t>High</t>
        </is>
      </c>
      <c r="F228" s="6" t="inlineStr">
        <is>
          <t>/test-reporting</t>
        </is>
      </c>
      <c r="G228" s="6" t="inlineStr">
        <is>
          <t>P1 Owner-Admin</t>
        </is>
      </c>
      <c r="H228" s="6" t="inlineStr">
        <is>
          <t>No</t>
        </is>
      </c>
      <c r="I228" s="6" t="inlineStr">
        <is>
          <t>B</t>
        </is>
      </c>
      <c r="J228" s="6" t="inlineStr">
        <is>
          <t>Not Run</t>
        </is>
      </c>
      <c r="K228" s="6" t="n"/>
      <c r="L228" s="6" t="n"/>
      <c r="M228" s="6" t="n"/>
      <c r="N228" s="6" t="n"/>
      <c r="O228" s="6" t="n"/>
      <c r="P228" s="6" t="n"/>
    </row>
    <row r="229">
      <c r="A229" s="6" t="inlineStr">
        <is>
          <t>TC-213</t>
        </is>
      </c>
      <c r="B229" s="6" t="inlineStr">
        <is>
          <t>TS-13</t>
        </is>
      </c>
      <c r="C229" s="6" t="inlineStr">
        <is>
          <t>09b Test Automation runs end-to-end — build PR and QA Lead merge gate</t>
        </is>
      </c>
      <c r="D229" s="6" t="inlineStr">
        <is>
          <t>E2E</t>
        </is>
      </c>
      <c r="E229" s="6" t="inlineStr">
        <is>
          <t>Critical</t>
        </is>
      </c>
      <c r="F229" s="6" t="inlineStr">
        <is>
          <t>/work-items/:id/test-cases, /runs/:id, /gates, /artifacts</t>
        </is>
      </c>
      <c r="G229" s="6" t="inlineStr">
        <is>
          <t>P1 Owner-Admin, P7 QA Lead</t>
        </is>
      </c>
      <c r="H229" s="6" t="inlineStr">
        <is>
          <t>No</t>
        </is>
      </c>
      <c r="I229" s="6" t="inlineStr">
        <is>
          <t>B</t>
        </is>
      </c>
      <c r="J229" s="6" t="inlineStr">
        <is>
          <t>Not Run</t>
        </is>
      </c>
      <c r="K229" s="6" t="n"/>
      <c r="L229" s="6" t="n"/>
      <c r="M229" s="6" t="n"/>
      <c r="N229" s="6" t="n"/>
      <c r="O229" s="6" t="n"/>
      <c r="P229" s="6" t="n"/>
    </row>
    <row r="230">
      <c r="A230" s="6" t="inlineStr">
        <is>
          <t>TC-214</t>
        </is>
      </c>
      <c r="B230" s="6" t="inlineStr">
        <is>
          <t>TS-13</t>
        </is>
      </c>
      <c r="C230" s="6" t="inlineStr">
        <is>
          <t>CI posts a JUnit report — Last used flips and failing tests open defects</t>
        </is>
      </c>
      <c r="D230" s="6" t="inlineStr">
        <is>
          <t>E2E</t>
        </is>
      </c>
      <c r="E230" s="6" t="inlineStr">
        <is>
          <t>Critical</t>
        </is>
      </c>
      <c r="F230" s="6" t="inlineStr">
        <is>
          <t>/test-reporting, /work-items</t>
        </is>
      </c>
      <c r="G230" s="6" t="inlineStr">
        <is>
          <t>P1 Owner-Admin</t>
        </is>
      </c>
      <c r="H230" s="6" t="inlineStr">
        <is>
          <t>No</t>
        </is>
      </c>
      <c r="I230" s="6" t="inlineStr">
        <is>
          <t>B</t>
        </is>
      </c>
      <c r="J230" s="6" t="inlineStr">
        <is>
          <t>Not Run</t>
        </is>
      </c>
      <c r="K230" s="6" t="n"/>
      <c r="L230" s="6" t="n"/>
      <c r="M230" s="6" t="n"/>
      <c r="N230" s="6" t="n"/>
      <c r="O230" s="6" t="n"/>
      <c r="P230" s="6" t="n"/>
    </row>
    <row r="231">
      <c r="A231" s="6" t="inlineStr">
        <is>
          <t>TC-215</t>
        </is>
      </c>
      <c r="B231" s="6" t="inlineStr">
        <is>
          <t>TS-13</t>
        </is>
      </c>
      <c r="C231" s="6" t="inlineStr">
        <is>
          <t>A revoked CI token is rejected and does not update Last used</t>
        </is>
      </c>
      <c r="D231" s="6" t="inlineStr">
        <is>
          <t>Negative</t>
        </is>
      </c>
      <c r="E231" s="6" t="inlineStr">
        <is>
          <t>Critical</t>
        </is>
      </c>
      <c r="F231" s="6" t="inlineStr">
        <is>
          <t>/test-reporting</t>
        </is>
      </c>
      <c r="G231" s="6" t="inlineStr">
        <is>
          <t>P1 Owner-Admin</t>
        </is>
      </c>
      <c r="H231" s="6" t="inlineStr">
        <is>
          <t>No</t>
        </is>
      </c>
      <c r="I231" s="6" t="inlineStr">
        <is>
          <t>B</t>
        </is>
      </c>
      <c r="J231" s="6" t="inlineStr">
        <is>
          <t>Not Run</t>
        </is>
      </c>
      <c r="K231" s="6" t="n"/>
      <c r="L231" s="6" t="n"/>
      <c r="M231" s="6" t="n"/>
      <c r="N231" s="6" t="n"/>
      <c r="O231" s="6" t="n"/>
      <c r="P231" s="6" t="n"/>
    </row>
    <row r="232">
      <c r="A232" s="6" t="inlineStr">
        <is>
          <t>TC-193</t>
        </is>
      </c>
      <c r="B232" s="6" t="inlineStr">
        <is>
          <t>TS-14</t>
        </is>
      </c>
      <c r="C232" s="6" t="inlineStr">
        <is>
          <t>Stopping the companion mid-run parks the run for takeover</t>
        </is>
      </c>
      <c r="D232" s="6" t="inlineStr">
        <is>
          <t>Functional</t>
        </is>
      </c>
      <c r="E232" s="6" t="inlineStr">
        <is>
          <t>Critical</t>
        </is>
      </c>
      <c r="F232" s="6" t="inlineStr">
        <is>
          <t>/runs/:id</t>
        </is>
      </c>
      <c r="G232" s="6" t="inlineStr">
        <is>
          <t>P1 Owner-Admin</t>
        </is>
      </c>
      <c r="H232" s="6" t="inlineStr">
        <is>
          <t>No</t>
        </is>
      </c>
      <c r="I232" s="6" t="inlineStr">
        <is>
          <t>C</t>
        </is>
      </c>
      <c r="J232" s="6" t="inlineStr">
        <is>
          <t>Not Run</t>
        </is>
      </c>
      <c r="K232" s="6" t="n"/>
      <c r="L232" s="6" t="n"/>
      <c r="M232" s="6" t="n"/>
      <c r="N232" s="6" t="n"/>
      <c r="O232" s="6" t="n"/>
      <c r="P232" s="6" t="n"/>
    </row>
    <row r="233">
      <c r="A233" s="6" t="inlineStr">
        <is>
          <t>TC-194</t>
        </is>
      </c>
      <c r="B233" s="6" t="inlineStr">
        <is>
          <t>TS-14</t>
        </is>
      </c>
      <c r="C233" s="6" t="inlineStr">
        <is>
          <t>/recovery renders the parked run</t>
        </is>
      </c>
      <c r="D233" s="6" t="inlineStr">
        <is>
          <t>UX</t>
        </is>
      </c>
      <c r="E233" s="6" t="inlineStr">
        <is>
          <t>High</t>
        </is>
      </c>
      <c r="F233" s="6" t="inlineStr">
        <is>
          <t>/recovery</t>
        </is>
      </c>
      <c r="G233" s="6" t="inlineStr">
        <is>
          <t>P1 Owner-Admin</t>
        </is>
      </c>
      <c r="H233" s="6" t="inlineStr">
        <is>
          <t>No</t>
        </is>
      </c>
      <c r="I233" s="6" t="inlineStr">
        <is>
          <t>C</t>
        </is>
      </c>
      <c r="J233" s="6" t="inlineStr">
        <is>
          <t>Not Run</t>
        </is>
      </c>
      <c r="K233" s="6" t="n"/>
      <c r="L233" s="6" t="n"/>
      <c r="M233" s="6" t="n"/>
      <c r="N233" s="6" t="n"/>
      <c r="O233" s="6" t="n"/>
      <c r="P233" s="6" t="n"/>
    </row>
    <row r="234">
      <c r="A234" s="6" t="inlineStr">
        <is>
          <t>TC-195</t>
        </is>
      </c>
      <c r="B234" s="6" t="inlineStr">
        <is>
          <t>TS-14</t>
        </is>
      </c>
      <c r="C234" s="6" t="inlineStr">
        <is>
          <t>Reconnect &amp; re-run starts a fresh run and leaves the parked one in history</t>
        </is>
      </c>
      <c r="D234" s="6" t="inlineStr">
        <is>
          <t>Functional</t>
        </is>
      </c>
      <c r="E234" s="6" t="inlineStr">
        <is>
          <t>Critical</t>
        </is>
      </c>
      <c r="F234" s="6" t="inlineStr">
        <is>
          <t>/recovery, /runs/:id, /runs</t>
        </is>
      </c>
      <c r="G234" s="6" t="inlineStr">
        <is>
          <t>P1 Owner-Admin</t>
        </is>
      </c>
      <c r="H234" s="6" t="inlineStr">
        <is>
          <t>No</t>
        </is>
      </c>
      <c r="I234" s="6" t="inlineStr">
        <is>
          <t>C</t>
        </is>
      </c>
      <c r="J234" s="6" t="inlineStr">
        <is>
          <t>Not Run</t>
        </is>
      </c>
      <c r="K234" s="6" t="n"/>
      <c r="L234" s="6" t="n"/>
      <c r="M234" s="6" t="n"/>
      <c r="N234" s="6" t="n"/>
      <c r="O234" s="6" t="n"/>
      <c r="P234" s="6" t="n"/>
    </row>
    <row r="235">
      <c r="A235" s="6" t="inlineStr">
        <is>
          <t>TC-196</t>
        </is>
      </c>
      <c r="B235" s="6" t="inlineStr">
        <is>
          <t>TS-14</t>
        </is>
      </c>
      <c r="C235" s="6" t="inlineStr">
        <is>
          <t>Take over manually ends the parked run</t>
        </is>
      </c>
      <c r="D235" s="6" t="inlineStr">
        <is>
          <t>Functional</t>
        </is>
      </c>
      <c r="E235" s="6" t="inlineStr">
        <is>
          <t>High</t>
        </is>
      </c>
      <c r="F235" s="6" t="inlineStr">
        <is>
          <t>/recovery, /runs/:id</t>
        </is>
      </c>
      <c r="G235" s="6" t="inlineStr">
        <is>
          <t>P1 Owner-Admin</t>
        </is>
      </c>
      <c r="H235" s="6" t="inlineStr">
        <is>
          <t>No</t>
        </is>
      </c>
      <c r="I235" s="6" t="inlineStr">
        <is>
          <t>C</t>
        </is>
      </c>
      <c r="J235" s="6" t="inlineStr">
        <is>
          <t>Not Run</t>
        </is>
      </c>
      <c r="K235" s="6" t="n"/>
      <c r="L235" s="6" t="n"/>
      <c r="M235" s="6" t="n"/>
      <c r="N235" s="6" t="n"/>
      <c r="O235" s="6" t="n"/>
      <c r="P235" s="6" t="n"/>
    </row>
    <row r="236">
      <c r="A236" s="6" t="inlineStr">
        <is>
          <t>TC-197</t>
        </is>
      </c>
      <c r="B236" s="6" t="inlineStr">
        <is>
          <t>TS-14</t>
        </is>
      </c>
      <c r="C236" s="6" t="inlineStr">
        <is>
          <t>Resume from where it stopped continues a run paused on an error</t>
        </is>
      </c>
      <c r="D236" s="6" t="inlineStr">
        <is>
          <t>Functional</t>
        </is>
      </c>
      <c r="E236" s="6" t="inlineStr">
        <is>
          <t>High</t>
        </is>
      </c>
      <c r="F236" s="6" t="inlineStr">
        <is>
          <t>/runs/:id</t>
        </is>
      </c>
      <c r="G236" s="6" t="inlineStr">
        <is>
          <t>P5 Tech Lead</t>
        </is>
      </c>
      <c r="H236" s="6" t="inlineStr">
        <is>
          <t>No</t>
        </is>
      </c>
      <c r="I236" s="6" t="inlineStr">
        <is>
          <t>C</t>
        </is>
      </c>
      <c r="J236" s="6" t="inlineStr">
        <is>
          <t>Not Run</t>
        </is>
      </c>
      <c r="K236" s="6" t="n"/>
      <c r="L236" s="6" t="n"/>
      <c r="M236" s="6" t="n"/>
      <c r="N236" s="6" t="n"/>
      <c r="O236" s="6" t="n"/>
      <c r="P236" s="6" t="n"/>
    </row>
    <row r="237">
      <c r="A237" s="6" t="inlineStr">
        <is>
          <t>TC-198</t>
        </is>
      </c>
      <c r="B237" s="6" t="inlineStr">
        <is>
          <t>TS-14</t>
        </is>
      </c>
      <c r="C237" s="6" t="inlineStr">
        <is>
          <t>A report-timeout park offers no resume action</t>
        </is>
      </c>
      <c r="D237" s="6" t="inlineStr">
        <is>
          <t>Negative</t>
        </is>
      </c>
      <c r="E237" s="6" t="inlineStr">
        <is>
          <t>High</t>
        </is>
      </c>
      <c r="F237" s="6" t="inlineStr">
        <is>
          <t>/runs/:id</t>
        </is>
      </c>
      <c r="G237" s="6" t="inlineStr">
        <is>
          <t>P1 Owner-Admin</t>
        </is>
      </c>
      <c r="H237" s="6" t="inlineStr">
        <is>
          <t>No</t>
        </is>
      </c>
      <c r="I237" s="6" t="inlineStr">
        <is>
          <t>C</t>
        </is>
      </c>
      <c r="J237" s="6" t="inlineStr">
        <is>
          <t>Not Run</t>
        </is>
      </c>
      <c r="K237" s="6" t="n"/>
      <c r="L237" s="6" t="n"/>
      <c r="M237" s="6" t="n"/>
      <c r="N237" s="6" t="n"/>
      <c r="O237" s="6" t="n"/>
      <c r="P237" s="6" t="n"/>
    </row>
    <row r="238">
      <c r="A238" s="6" t="inlineStr">
        <is>
          <t>TC-199</t>
        </is>
      </c>
      <c r="B238" s="6" t="inlineStr">
        <is>
          <t>TS-14</t>
        </is>
      </c>
      <c r="C238" s="6" t="inlineStr">
        <is>
          <t>A parked run can be re-triggered where a live run cannot</t>
        </is>
      </c>
      <c r="D238" s="6" t="inlineStr">
        <is>
          <t>Functional</t>
        </is>
      </c>
      <c r="E238" s="6" t="inlineStr">
        <is>
          <t>High</t>
        </is>
      </c>
      <c r="F238" s="6" t="inlineStr">
        <is>
          <t>/runs</t>
        </is>
      </c>
      <c r="G238" s="6" t="inlineStr">
        <is>
          <t>P1 Owner-Admin</t>
        </is>
      </c>
      <c r="H238" s="6" t="inlineStr">
        <is>
          <t>No</t>
        </is>
      </c>
      <c r="I238" s="6" t="inlineStr">
        <is>
          <t>C</t>
        </is>
      </c>
      <c r="J238" s="6" t="inlineStr">
        <is>
          <t>Not Run</t>
        </is>
      </c>
      <c r="K238" s="6" t="n"/>
      <c r="L238" s="6" t="n"/>
      <c r="M238" s="6" t="n"/>
      <c r="N238" s="6" t="n"/>
      <c r="O238" s="6" t="n"/>
      <c r="P238" s="6" t="n"/>
    </row>
    <row r="239">
      <c r="A239" s="6" t="inlineStr">
        <is>
          <t>TC-200</t>
        </is>
      </c>
      <c r="B239" s="6" t="inlineStr">
        <is>
          <t>TS-14</t>
        </is>
      </c>
      <c r="C239" s="6" t="inlineStr">
        <is>
          <t>/recovery empty state when nothing is parked</t>
        </is>
      </c>
      <c r="D239" s="6" t="inlineStr">
        <is>
          <t>UX</t>
        </is>
      </c>
      <c r="E239" s="6" t="inlineStr">
        <is>
          <t>Medium</t>
        </is>
      </c>
      <c r="F239" s="6" t="inlineStr">
        <is>
          <t>/recovery</t>
        </is>
      </c>
      <c r="G239" s="6" t="inlineStr">
        <is>
          <t>P1 Owner-Admin</t>
        </is>
      </c>
      <c r="H239" s="6" t="inlineStr">
        <is>
          <t>Yes</t>
        </is>
      </c>
      <c r="I239" s="6" t="inlineStr">
        <is>
          <t>C</t>
        </is>
      </c>
      <c r="J239" s="6" t="inlineStr">
        <is>
          <t>Not Run</t>
        </is>
      </c>
      <c r="K239" s="6" t="n"/>
      <c r="L239" s="6" t="n"/>
      <c r="M239" s="6" t="n"/>
      <c r="N239" s="6" t="n"/>
      <c r="O239" s="6" t="n"/>
      <c r="P239" s="6" t="n"/>
    </row>
    <row r="240">
      <c r="A240" s="6" t="inlineStr">
        <is>
          <t>TC-216</t>
        </is>
      </c>
      <c r="B240" s="6" t="inlineStr">
        <is>
          <t>TS-14</t>
        </is>
      </c>
      <c r="C240" s="6" t="inlineStr">
        <is>
          <t>A late report reconciles the same parked run, with no button pressed</t>
        </is>
      </c>
      <c r="D240" s="6" t="inlineStr">
        <is>
          <t>Functional</t>
        </is>
      </c>
      <c r="E240" s="6" t="inlineStr">
        <is>
          <t>Critical</t>
        </is>
      </c>
      <c r="F240" s="6" t="inlineStr">
        <is>
          <t>/runs/:id, /gates, /artifacts</t>
        </is>
      </c>
      <c r="G240" s="6" t="inlineStr">
        <is>
          <t>P1 Owner-Admin</t>
        </is>
      </c>
      <c r="H240" s="6" t="inlineStr">
        <is>
          <t>No</t>
        </is>
      </c>
      <c r="I240" s="6" t="inlineStr">
        <is>
          <t>C</t>
        </is>
      </c>
      <c r="J240" s="6" t="inlineStr">
        <is>
          <t>Not Run</t>
        </is>
      </c>
      <c r="K240" s="6" t="n"/>
      <c r="L240" s="6" t="n"/>
      <c r="M240" s="6" t="n"/>
      <c r="N240" s="6" t="n"/>
      <c r="O240" s="6" t="n"/>
      <c r="P240" s="6" t="n"/>
    </row>
    <row r="241">
      <c r="A241" s="6" t="inlineStr">
        <is>
          <t>TC-217</t>
        </is>
      </c>
      <c r="B241" s="6" t="inlineStr">
        <is>
          <t>TS-14</t>
        </is>
      </c>
      <c r="C241" s="6" t="inlineStr">
        <is>
          <t>Triggering a different phase while a run is live fails with a red banner, not a modal</t>
        </is>
      </c>
      <c r="D241" s="6" t="inlineStr">
        <is>
          <t>Negative</t>
        </is>
      </c>
      <c r="E241" s="6" t="inlineStr">
        <is>
          <t>High</t>
        </is>
      </c>
      <c r="F241" s="6" t="inlineStr">
        <is>
          <t>/runs</t>
        </is>
      </c>
      <c r="G241" s="6" t="inlineStr">
        <is>
          <t>P1 Owner-Admin</t>
        </is>
      </c>
      <c r="H241" s="6" t="inlineStr">
        <is>
          <t>No</t>
        </is>
      </c>
      <c r="I241" s="6" t="inlineStr">
        <is>
          <t>C</t>
        </is>
      </c>
      <c r="J241" s="6" t="inlineStr">
        <is>
          <t>Not Run</t>
        </is>
      </c>
      <c r="K241" s="6" t="n"/>
      <c r="L241" s="6" t="n"/>
      <c r="M241" s="6" t="n"/>
      <c r="N241" s="6" t="n"/>
      <c r="O241" s="6" t="n"/>
      <c r="P241" s="6" t="n"/>
    </row>
    <row r="242">
      <c r="A242" s="6" t="inlineStr">
        <is>
          <t>TC-201</t>
        </is>
      </c>
      <c r="B242" s="6" t="inlineStr">
        <is>
          <t>TS-15</t>
        </is>
      </c>
      <c r="C242" s="6" t="inlineStr">
        <is>
          <t>Zero to ready — signup to a dashboard that says you can start</t>
        </is>
      </c>
      <c r="D242" s="6" t="inlineStr">
        <is>
          <t>E2E</t>
        </is>
      </c>
      <c r="E242" s="6" t="inlineStr">
        <is>
          <t>Critical</t>
        </is>
      </c>
      <c r="F242" s="6" t="inlineStr">
        <is>
          <t>/signup, /setup, /projects/new, /profile, /repositories, /connect, /</t>
        </is>
      </c>
      <c r="G242" s="6" t="inlineStr">
        <is>
          <t>P1 Owner-Admin</t>
        </is>
      </c>
      <c r="H242" s="6" t="inlineStr">
        <is>
          <t>No</t>
        </is>
      </c>
      <c r="I242" s="6" t="inlineStr">
        <is>
          <t>C</t>
        </is>
      </c>
      <c r="J242" s="6" t="inlineStr">
        <is>
          <t>Not Run</t>
        </is>
      </c>
      <c r="K242" s="6" t="n"/>
      <c r="L242" s="6" t="n"/>
      <c r="M242" s="6" t="n"/>
      <c r="N242" s="6" t="n"/>
      <c r="O242" s="6" t="n"/>
      <c r="P242" s="6" t="n"/>
    </row>
    <row r="243">
      <c r="A243" s="6" t="inlineStr">
        <is>
          <t>TC-202</t>
        </is>
      </c>
      <c r="B243" s="6" t="inlineStr">
        <is>
          <t>TS-15</t>
        </is>
      </c>
      <c r="C243" s="6" t="inlineStr">
        <is>
          <t>Invite the team until every gate role is covered</t>
        </is>
      </c>
      <c r="D243" s="6" t="inlineStr">
        <is>
          <t>E2E</t>
        </is>
      </c>
      <c r="E243" s="6" t="inlineStr">
        <is>
          <t>Critical</t>
        </is>
      </c>
      <c r="F243" s="6" t="inlineStr">
        <is>
          <t>/admin/users, /accept-invite, /admin/roles</t>
        </is>
      </c>
      <c r="G243" s="6" t="inlineStr">
        <is>
          <t>P1 Owner-Admin</t>
        </is>
      </c>
      <c r="H243" s="6" t="inlineStr">
        <is>
          <t>No</t>
        </is>
      </c>
      <c r="I243" s="6" t="inlineStr">
        <is>
          <t>C</t>
        </is>
      </c>
      <c r="J243" s="6" t="inlineStr">
        <is>
          <t>Not Run</t>
        </is>
      </c>
      <c r="K243" s="6" t="n"/>
      <c r="L243" s="6" t="n"/>
      <c r="M243" s="6" t="n"/>
      <c r="N243" s="6" t="n"/>
      <c r="O243" s="6" t="n"/>
      <c r="P243" s="6" t="n"/>
    </row>
    <row r="244">
      <c r="A244" s="6" t="inlineStr">
        <is>
          <t>TC-203</t>
        </is>
      </c>
      <c r="B244" s="6" t="inlineStr">
        <is>
          <t>TS-15</t>
        </is>
      </c>
      <c r="C244" s="6" t="inlineStr">
        <is>
          <t>Plan tier, part 1 — Ideation from trigger to approved artifact</t>
        </is>
      </c>
      <c r="D244" s="6" t="inlineStr">
        <is>
          <t>E2E</t>
        </is>
      </c>
      <c r="E244" s="6" t="inlineStr">
        <is>
          <t>Critical</t>
        </is>
      </c>
      <c r="F244" s="6" t="inlineStr">
        <is>
          <t>/work-items, /runs, /runs/:id, /clarifications, /gates, /artifacts</t>
        </is>
      </c>
      <c r="G244" s="6" t="inlineStr">
        <is>
          <t>P1 Owner-Admin, P2 Product Owner</t>
        </is>
      </c>
      <c r="H244" s="6" t="inlineStr">
        <is>
          <t>No</t>
        </is>
      </c>
      <c r="I244" s="6" t="inlineStr">
        <is>
          <t>C</t>
        </is>
      </c>
      <c r="J244" s="6" t="inlineStr">
        <is>
          <t>Not Run</t>
        </is>
      </c>
      <c r="K244" s="6" t="n"/>
      <c r="L244" s="6" t="n"/>
      <c r="M244" s="6" t="n"/>
      <c r="N244" s="6" t="n"/>
      <c r="O244" s="6" t="n"/>
      <c r="P244" s="6" t="n"/>
    </row>
    <row r="245">
      <c r="A245" s="6" t="inlineStr">
        <is>
          <t>TC-204</t>
        </is>
      </c>
      <c r="B245" s="6" t="inlineStr">
        <is>
          <t>TS-15</t>
        </is>
      </c>
      <c r="C245" s="6" t="inlineStr">
        <is>
          <t>Plan tier, part 2 — Requirements then PRD, each through its gate</t>
        </is>
      </c>
      <c r="D245" s="6" t="inlineStr">
        <is>
          <t>E2E</t>
        </is>
      </c>
      <c r="E245" s="6" t="inlineStr">
        <is>
          <t>Critical</t>
        </is>
      </c>
      <c r="F245" s="6" t="inlineStr">
        <is>
          <t>/runs, /runs/:id, /gates, /artifacts, /work-items/:id</t>
        </is>
      </c>
      <c r="G245" s="6" t="inlineStr">
        <is>
          <t>P1 Owner-Admin, P2 Product Owner</t>
        </is>
      </c>
      <c r="H245" s="6" t="inlineStr">
        <is>
          <t>No</t>
        </is>
      </c>
      <c r="I245" s="6" t="inlineStr">
        <is>
          <t>C</t>
        </is>
      </c>
      <c r="J245" s="6" t="inlineStr">
        <is>
          <t>Not Run</t>
        </is>
      </c>
      <c r="K245" s="6" t="n"/>
      <c r="L245" s="6" t="n"/>
      <c r="M245" s="6" t="n"/>
      <c r="N245" s="6" t="n"/>
      <c r="O245" s="6" t="n"/>
      <c r="P245" s="6" t="n"/>
    </row>
    <row r="246">
      <c r="A246" s="6" t="inlineStr">
        <is>
          <t>TC-205</t>
        </is>
      </c>
      <c r="B246" s="6" t="inlineStr">
        <is>
          <t>TS-15</t>
        </is>
      </c>
      <c r="C246" s="6" t="inlineStr">
        <is>
          <t>Architecture — the Product Owner cannot decide it, the Architect can</t>
        </is>
      </c>
      <c r="D246" s="6" t="inlineStr">
        <is>
          <t>E2E</t>
        </is>
      </c>
      <c r="E246" s="6" t="inlineStr">
        <is>
          <t>Critical</t>
        </is>
      </c>
      <c r="F246" s="6" t="inlineStr">
        <is>
          <t>/runs, /gates, /artifacts</t>
        </is>
      </c>
      <c r="G246" s="6" t="inlineStr">
        <is>
          <t>P1 Owner-Admin, P2 Product Owner, P3 Architect</t>
        </is>
      </c>
      <c r="H246" s="6" t="inlineStr">
        <is>
          <t>No</t>
        </is>
      </c>
      <c r="I246" s="6" t="inlineStr">
        <is>
          <t>C</t>
        </is>
      </c>
      <c r="J246" s="6" t="inlineStr">
        <is>
          <t>Not Run</t>
        </is>
      </c>
      <c r="K246" s="6" t="n"/>
      <c r="L246" s="6" t="n"/>
      <c r="M246" s="6" t="n"/>
      <c r="N246" s="6" t="n"/>
      <c r="O246" s="6" t="n"/>
      <c r="P246" s="6" t="n"/>
    </row>
    <row r="247">
      <c r="A247" s="6" t="inlineStr">
        <is>
          <t>TC-206</t>
        </is>
      </c>
      <c r="B247" s="6" t="inlineStr">
        <is>
          <t>TS-15</t>
        </is>
      </c>
      <c r="C247" s="6" t="inlineStr">
        <is>
          <t>UX Design — the criteria gate needs all 22 WCAG 2.2 criteria ticked</t>
        </is>
      </c>
      <c r="D247" s="6" t="inlineStr">
        <is>
          <t>E2E</t>
        </is>
      </c>
      <c r="E247" s="6" t="inlineStr">
        <is>
          <t>Critical</t>
        </is>
      </c>
      <c r="F247" s="6" t="inlineStr">
        <is>
          <t>/runs, /gates, /gates/:id/criteria, /artifacts</t>
        </is>
      </c>
      <c r="G247" s="6" t="inlineStr">
        <is>
          <t>P1 Owner-Admin, P4 Designer</t>
        </is>
      </c>
      <c r="H247" s="6" t="inlineStr">
        <is>
          <t>No</t>
        </is>
      </c>
      <c r="I247" s="6" t="inlineStr">
        <is>
          <t>C</t>
        </is>
      </c>
      <c r="J247" s="6" t="inlineStr">
        <is>
          <t>Not Run</t>
        </is>
      </c>
      <c r="K247" s="6" t="n"/>
      <c r="L247" s="6" t="n"/>
      <c r="M247" s="6" t="n"/>
      <c r="N247" s="6" t="n"/>
      <c r="O247" s="6" t="n"/>
      <c r="P247" s="6" t="n"/>
    </row>
    <row r="248">
      <c r="A248" s="6" t="inlineStr">
        <is>
          <t>TC-207</t>
        </is>
      </c>
      <c r="B248" s="6" t="inlineStr">
        <is>
          <t>TS-15</t>
        </is>
      </c>
      <c r="C248" s="6" t="inlineStr">
        <is>
          <t>Task Breakdown — approve as Tech Lead and see the fan-out</t>
        </is>
      </c>
      <c r="D248" s="6" t="inlineStr">
        <is>
          <t>E2E</t>
        </is>
      </c>
      <c r="E248" s="6" t="inlineStr">
        <is>
          <t>Critical</t>
        </is>
      </c>
      <c r="F248" s="6" t="inlineStr">
        <is>
          <t>/runs, /gates, /work-items, /work-items/:id/breakdown</t>
        </is>
      </c>
      <c r="G248" s="6" t="inlineStr">
        <is>
          <t>P1 Owner-Admin, P5 Tech Lead</t>
        </is>
      </c>
      <c r="H248" s="6" t="inlineStr">
        <is>
          <t>No</t>
        </is>
      </c>
      <c r="I248" s="6" t="inlineStr">
        <is>
          <t>C</t>
        </is>
      </c>
      <c r="J248" s="6" t="inlineStr">
        <is>
          <t>Not Run</t>
        </is>
      </c>
      <c r="K248" s="6" t="n"/>
      <c r="L248" s="6" t="n"/>
      <c r="M248" s="6" t="n"/>
      <c r="N248" s="6" t="n"/>
      <c r="O248" s="6" t="n"/>
      <c r="P248" s="6" t="n"/>
    </row>
    <row r="249">
      <c r="A249" s="6" t="inlineStr">
        <is>
          <t>TC-208</t>
        </is>
      </c>
      <c r="B249" s="6" t="inlineStr">
        <is>
          <t>TS-15</t>
        </is>
      </c>
      <c r="C249" s="6" t="inlineStr">
        <is>
          <t>Build tier — Implementation on a child task through its gate</t>
        </is>
      </c>
      <c r="D249" s="6" t="inlineStr">
        <is>
          <t>E2E</t>
        </is>
      </c>
      <c r="E249" s="6" t="inlineStr">
        <is>
          <t>Critical</t>
        </is>
      </c>
      <c r="F249" s="6" t="inlineStr">
        <is>
          <t>/work-items/:id, /runs, /runs/:id, /gates</t>
        </is>
      </c>
      <c r="G249" s="6" t="inlineStr">
        <is>
          <t>P1 Owner-Admin, P5 Tech Lead</t>
        </is>
      </c>
      <c r="H249" s="6" t="inlineStr">
        <is>
          <t>No</t>
        </is>
      </c>
      <c r="I249" s="6" t="inlineStr">
        <is>
          <t>C</t>
        </is>
      </c>
      <c r="J249" s="6" t="inlineStr">
        <is>
          <t>Not Run</t>
        </is>
      </c>
      <c r="K249" s="6" t="n"/>
      <c r="L249" s="6" t="n"/>
      <c r="M249" s="6" t="n"/>
      <c r="N249" s="6" t="n"/>
      <c r="O249" s="6" t="n"/>
      <c r="P249" s="6" t="n"/>
    </row>
    <row r="250">
      <c r="A250" s="6" t="inlineStr">
        <is>
          <t>TC-209</t>
        </is>
      </c>
      <c r="B250" s="6" t="inlineStr">
        <is>
          <t>TS-15</t>
        </is>
      </c>
      <c r="C250" s="6" t="inlineStr">
        <is>
          <t>Testing — QA Lead approval produces test_case work items and artifacts</t>
        </is>
      </c>
      <c r="D250" s="6" t="inlineStr">
        <is>
          <t>E2E</t>
        </is>
      </c>
      <c r="E250" s="6" t="inlineStr">
        <is>
          <t>High</t>
        </is>
      </c>
      <c r="F250" s="6" t="inlineStr">
        <is>
          <t>/runs, /gates, /artifacts, /work-items/:id/test-cases</t>
        </is>
      </c>
      <c r="G250" s="6" t="inlineStr">
        <is>
          <t>P1 Owner-Admin, P7 QA Lead</t>
        </is>
      </c>
      <c r="H250" s="6" t="inlineStr">
        <is>
          <t>No</t>
        </is>
      </c>
      <c r="I250" s="6" t="inlineStr">
        <is>
          <t>C</t>
        </is>
      </c>
      <c r="J250" s="6" t="inlineStr">
        <is>
          <t>Not Run</t>
        </is>
      </c>
      <c r="K250" s="6" t="n"/>
      <c r="L250" s="6" t="n"/>
      <c r="M250" s="6" t="n"/>
      <c r="N250" s="6" t="n"/>
      <c r="O250" s="6" t="n"/>
      <c r="P250" s="6" t="n"/>
    </row>
    <row r="251">
      <c r="A251" s="6" t="inlineStr">
        <is>
          <t>TC-210</t>
        </is>
      </c>
      <c r="B251" s="6" t="inlineStr">
        <is>
          <t>TS-15</t>
        </is>
      </c>
      <c r="C251" s="6" t="inlineStr">
        <is>
          <t>Security, CI/CD and Deployment — each to its own role</t>
        </is>
      </c>
      <c r="D251" s="6" t="inlineStr">
        <is>
          <t>E2E</t>
        </is>
      </c>
      <c r="E251" s="6" t="inlineStr">
        <is>
          <t>Critical</t>
        </is>
      </c>
      <c r="F251" s="6" t="inlineStr">
        <is>
          <t>/runs, /gates, /gates/:id/criteria, /artifacts</t>
        </is>
      </c>
      <c r="G251" s="6" t="inlineStr">
        <is>
          <t>P1 Owner-Admin, P8 Security Engineer, P9 DevOps</t>
        </is>
      </c>
      <c r="H251" s="6" t="inlineStr">
        <is>
          <t>No</t>
        </is>
      </c>
      <c r="I251" s="6" t="inlineStr">
        <is>
          <t>C</t>
        </is>
      </c>
      <c r="J251" s="6" t="inlineStr">
        <is>
          <t>Not Run</t>
        </is>
      </c>
      <c r="K251" s="6" t="n"/>
      <c r="L251" s="6" t="n"/>
      <c r="M251" s="6" t="n"/>
      <c r="N251" s="6" t="n"/>
      <c r="O251" s="6" t="n"/>
      <c r="P251" s="6" t="n"/>
    </row>
    <row r="252">
      <c r="A252" s="6" t="inlineStr">
        <is>
          <t>TC-211</t>
        </is>
      </c>
      <c r="B252" s="6" t="inlineStr">
        <is>
          <t>TS-15</t>
        </is>
      </c>
      <c r="C252" s="6" t="inlineStr">
        <is>
          <t>The gate rule holds at the publish screen, and the chain agrees across surfaces</t>
        </is>
      </c>
      <c r="D252" s="6" t="inlineStr">
        <is>
          <t>E2E</t>
        </is>
      </c>
      <c r="E252" s="6" t="inlineStr">
        <is>
          <t>Critical</t>
        </is>
      </c>
      <c r="F252" s="6" t="inlineStr">
        <is>
          <t>/artifacts, /artifacts/:id, /artifacts/:id/publish, /, /traceability</t>
        </is>
      </c>
      <c r="G252" s="6" t="inlineStr">
        <is>
          <t>P1 Owner-Admin</t>
        </is>
      </c>
      <c r="H252" s="6" t="inlineStr">
        <is>
          <t>No</t>
        </is>
      </c>
      <c r="I252" s="6" t="inlineStr">
        <is>
          <t>C</t>
        </is>
      </c>
      <c r="J252" s="6" t="inlineStr">
        <is>
          <t>Not Run</t>
        </is>
      </c>
      <c r="K252" s="6" t="n"/>
      <c r="L252" s="6" t="n"/>
      <c r="M252" s="6" t="n"/>
      <c r="N252" s="6" t="n"/>
      <c r="O252" s="6" t="n"/>
      <c r="P252" s="6" t="n"/>
    </row>
    <row r="253">
      <c r="A253" s="6" t="inlineStr">
        <is>
          <t>TC-212</t>
        </is>
      </c>
      <c r="B253" s="6" t="inlineStr">
        <is>
          <t>TS-15</t>
        </is>
      </c>
      <c r="C253" s="6" t="inlineStr">
        <is>
          <t>Rejection and recovery — reject a gate, re-trigger, pass on the second attempt</t>
        </is>
      </c>
      <c r="D253" s="6" t="inlineStr">
        <is>
          <t>E2E</t>
        </is>
      </c>
      <c r="E253" s="6" t="inlineStr">
        <is>
          <t>High</t>
        </is>
      </c>
      <c r="F253" s="6" t="inlineStr">
        <is>
          <t>/gates, /runs, /runs/:id, /artifacts</t>
        </is>
      </c>
      <c r="G253" s="6" t="inlineStr">
        <is>
          <t>P1 Owner-Admin, P2 Product Owner</t>
        </is>
      </c>
      <c r="H253" s="6" t="inlineStr">
        <is>
          <t>No</t>
        </is>
      </c>
      <c r="I253" s="6" t="inlineStr">
        <is>
          <t>C</t>
        </is>
      </c>
      <c r="J253" s="6" t="inlineStr">
        <is>
          <t>Not Run</t>
        </is>
      </c>
      <c r="K253" s="6" t="n"/>
      <c r="L253" s="6" t="n"/>
      <c r="M253" s="6" t="n"/>
      <c r="N253" s="6" t="n"/>
      <c r="O253" s="6" t="n"/>
      <c r="P253" s="6" t="n"/>
    </row>
    <row r="254">
      <c r="A254" s="6" t="inlineStr">
        <is>
          <t>TC-218</t>
        </is>
      </c>
      <c r="B254" s="6" t="inlineStr">
        <is>
          <t>TS-15</t>
        </is>
      </c>
      <c r="C254" s="6" t="inlineStr">
        <is>
          <t>Code Review (08) leaves its evidence inside the build loop</t>
        </is>
      </c>
      <c r="D254" s="6" t="inlineStr">
        <is>
          <t>E2E</t>
        </is>
      </c>
      <c r="E254" s="6" t="inlineStr">
        <is>
          <t>High</t>
        </is>
      </c>
      <c r="F254" s="6" t="inlineStr">
        <is>
          <t>/runs/:id, /artifacts, /work-items</t>
        </is>
      </c>
      <c r="G254" s="6" t="inlineStr">
        <is>
          <t>P1 Owner-Admin</t>
        </is>
      </c>
      <c r="H254" s="6" t="inlineStr">
        <is>
          <t>No</t>
        </is>
      </c>
      <c r="I254" s="6" t="inlineStr">
        <is>
          <t>C</t>
        </is>
      </c>
      <c r="J254" s="6" t="inlineStr">
        <is>
          <t>Not Run</t>
        </is>
      </c>
      <c r="K254" s="6" t="n"/>
      <c r="L254" s="6" t="n"/>
      <c r="M254" s="6" t="n"/>
      <c r="N254" s="6" t="n"/>
      <c r="O254" s="6" t="n"/>
      <c r="P254" s="6" t="n"/>
    </row>
  </sheetData>
  <autoFilter ref="A1:P254"/>
  <conditionalFormatting sqref="A2:P254">
    <cfRule type="expression" priority="1" dxfId="0">
      <formula>INDIRECT("J"&amp;ROW())="Fail"</formula>
    </cfRule>
    <cfRule type="expression" priority="2" dxfId="1">
      <formula>INDIRECT("J"&amp;ROW())="Pass"</formula>
    </cfRule>
    <cfRule type="expression" priority="3" dxfId="2">
      <formula>INDIRECT("J"&amp;ROW())="Blocked"</formula>
    </cfRule>
  </conditionalFormatting>
  <dataValidations count="2">
    <dataValidation sqref="J2:J254" showDropDown="0" showInputMessage="0" showErrorMessage="0" allowBlank="1" error="Pick one of: Not Run, Pass, Fail, Blocked, Skipped" type="list">
      <formula1>"Not Run,Pass,Fail,Blocked,Skipped"</formula1>
    </dataValidation>
    <dataValidation sqref="O2:O254" showDropDown="0" showInputMessage="0" showErrorMessage="0" allowBlank="1" type="list">
      <formula1>"Not needed,Pending,Pass,Fail"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2" customWidth="1" min="2" max="2"/>
    <col width="10" customWidth="1" min="3" max="3"/>
    <col width="22" customWidth="1" min="4" max="4"/>
    <col width="12" customWidth="1" min="5" max="5"/>
    <col width="22" customWidth="1" min="6" max="6"/>
    <col width="56" customWidth="1" min="7" max="7"/>
    <col width="40" customWidth="1" min="8" max="8"/>
    <col width="40" customWidth="1" min="9" max="9"/>
    <col width="26" customWidth="1" min="10" max="10"/>
    <col width="11" customWidth="1" min="11" max="11"/>
    <col width="12" customWidth="1" min="12" max="12"/>
    <col width="13" customWidth="1" min="13" max="13"/>
    <col width="18" customWidth="1" min="14" max="14"/>
    <col width="13" customWidth="1" min="15" max="15"/>
    <col width="12" customWidth="1" min="16" max="16"/>
  </cols>
  <sheetData>
    <row r="1" ht="28" customHeight="1">
      <c r="A1" s="5" t="inlineStr">
        <is>
          <t>Defect ID</t>
        </is>
      </c>
      <c r="B1" s="5" t="inlineStr">
        <is>
          <t>Title</t>
        </is>
      </c>
      <c r="C1" s="5" t="inlineStr">
        <is>
          <t>Severity</t>
        </is>
      </c>
      <c r="D1" s="5" t="inlineStr">
        <is>
          <t>Status</t>
        </is>
      </c>
      <c r="E1" s="5" t="inlineStr">
        <is>
          <t>Found in TC</t>
        </is>
      </c>
      <c r="F1" s="5" t="inlineStr">
        <is>
          <t>Screen / route</t>
        </is>
      </c>
      <c r="G1" s="5" t="inlineStr">
        <is>
          <t>Steps to reproduce</t>
        </is>
      </c>
      <c r="H1" s="5" t="inlineStr">
        <is>
          <t>Expected</t>
        </is>
      </c>
      <c r="I1" s="5" t="inlineStr">
        <is>
          <t>Actual (verbatim)</t>
        </is>
      </c>
      <c r="J1" s="5" t="inlineStr">
        <is>
          <t>Evidence (screenshot path)</t>
        </is>
      </c>
      <c r="K1" s="5" t="inlineStr">
        <is>
          <t>Raised by</t>
        </is>
      </c>
      <c r="L1" s="5" t="inlineStr">
        <is>
          <t>Raised on</t>
        </is>
      </c>
      <c r="M1" s="5" t="inlineStr">
        <is>
          <t>Assigned to</t>
        </is>
      </c>
      <c r="N1" s="5" t="inlineStr">
        <is>
          <t>Fix ref / commit</t>
        </is>
      </c>
      <c r="O1" s="5" t="inlineStr">
        <is>
          <t>Re-tested by</t>
        </is>
      </c>
      <c r="P1" s="5" t="inlineStr">
        <is>
          <t>Closed on</t>
        </is>
      </c>
    </row>
  </sheetData>
  <autoFilter ref="A1:P1"/>
  <dataValidations count="2">
    <dataValidation sqref="C2:C200" showDropDown="0" showInputMessage="0" showErrorMessage="0" allowBlank="1" type="list">
      <formula1>"Critical,High,Medium,Low"</formula1>
    </dataValidation>
    <dataValidation sqref="D2:D200" showDropDown="0" showInputMessage="0" showErrorMessage="0" allowBlank="1" type="list">
      <formula1>"Open,In Progress,Fixed — awaiting re-test,Closed,Won't Fix,Duplicate"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4" customWidth="1" min="4" max="4"/>
    <col width="26" customWidth="1" min="5" max="5"/>
    <col width="11" customWidth="1" min="6" max="6"/>
    <col width="8" customWidth="1" min="7" max="7"/>
    <col width="8" customWidth="1" min="8" max="8"/>
    <col width="10" customWidth="1" min="9" max="9"/>
    <col width="68" customWidth="1" min="10" max="10"/>
  </cols>
  <sheetData>
    <row r="1" ht="28" customHeight="1">
      <c r="A1" s="5" t="inlineStr">
        <is>
          <t>Date</t>
        </is>
      </c>
      <c r="B1" s="5" t="inlineStr">
        <is>
          <t>Tester</t>
        </is>
      </c>
      <c r="C1" s="5" t="inlineStr">
        <is>
          <t>Hours</t>
        </is>
      </c>
      <c r="D1" s="5" t="inlineStr">
        <is>
          <t>Env health OK?</t>
        </is>
      </c>
      <c r="E1" s="5" t="inlineStr">
        <is>
          <t>Suites worked</t>
        </is>
      </c>
      <c r="F1" s="5" t="inlineStr">
        <is>
          <t>Cases run</t>
        </is>
      </c>
      <c r="G1" s="5" t="inlineStr">
        <is>
          <t>Pass</t>
        </is>
      </c>
      <c r="H1" s="5" t="inlineStr">
        <is>
          <t>Fail</t>
        </is>
      </c>
      <c r="I1" s="5" t="inlineStr">
        <is>
          <t>Blocked</t>
        </is>
      </c>
      <c r="J1" s="5" t="inlineStr">
        <is>
          <t>What got in the way</t>
        </is>
      </c>
    </row>
  </sheetData>
  <autoFilter ref="A1:J1"/>
  <dataValidations count="1">
    <dataValidation sqref="D2:D12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7" t="inlineStr">
        <is>
          <t>Cycle Summary</t>
        </is>
      </c>
    </row>
    <row r="2">
      <c r="A2" s="8" t="inlineStr">
        <is>
          <t>Everything below is calculated. Do not type in this sheet.</t>
        </is>
      </c>
    </row>
    <row r="4">
      <c r="A4" s="9" t="inlineStr">
        <is>
          <t>Overall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t="inlineStr">
        <is>
          <t>Total cases</t>
        </is>
      </c>
      <c r="B5">
        <f>COUNTA('Test Cases'!A2:A254)</f>
        <v/>
      </c>
    </row>
    <row r="6">
      <c r="A6" t="inlineStr">
        <is>
          <t>Not Run</t>
        </is>
      </c>
      <c r="B6">
        <f>COUNTIF('Test Cases'!J2:J254,"Not Run")</f>
        <v/>
      </c>
      <c r="C6" s="11">
        <f>IFERROR(B6/$B$5,0)</f>
        <v/>
      </c>
    </row>
    <row r="7">
      <c r="A7" t="inlineStr">
        <is>
          <t>Pass</t>
        </is>
      </c>
      <c r="B7">
        <f>COUNTIF('Test Cases'!J2:J254,"Pass")</f>
        <v/>
      </c>
      <c r="C7" s="11">
        <f>IFERROR(B7/$B$5,0)</f>
        <v/>
      </c>
    </row>
    <row r="8">
      <c r="A8" t="inlineStr">
        <is>
          <t>Fail</t>
        </is>
      </c>
      <c r="B8">
        <f>COUNTIF('Test Cases'!J2:J254,"Fail")</f>
        <v/>
      </c>
      <c r="C8" s="11">
        <f>IFERROR(B8/$B$5,0)</f>
        <v/>
      </c>
    </row>
    <row r="9">
      <c r="A9" t="inlineStr">
        <is>
          <t>Blocked</t>
        </is>
      </c>
      <c r="B9">
        <f>COUNTIF('Test Cases'!J2:J254,"Blocked")</f>
        <v/>
      </c>
      <c r="C9" s="11">
        <f>IFERROR(B9/$B$5,0)</f>
        <v/>
      </c>
    </row>
    <row r="10">
      <c r="A10" t="inlineStr">
        <is>
          <t>Skipped</t>
        </is>
      </c>
      <c r="B10">
        <f>COUNTIF('Test Cases'!J2:J254,"Skipped")</f>
        <v/>
      </c>
      <c r="C10" s="11">
        <f>IFERROR(B10/$B$5,0)</f>
        <v/>
      </c>
    </row>
    <row r="11">
      <c r="A11" s="12" t="inlineStr">
        <is>
          <t>Executed (not 'Not Run')</t>
        </is>
      </c>
      <c r="B11" s="12">
        <f>$B$5-B6</f>
        <v/>
      </c>
      <c r="C11" s="11">
        <f>IFERROR(B11/$B$5,0)</f>
        <v/>
      </c>
    </row>
    <row r="13">
      <c r="A13" s="9" t="inlineStr">
        <is>
          <t>By owner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>
      <c r="A14" s="12" t="inlineStr">
        <is>
          <t>Owner</t>
        </is>
      </c>
      <c r="B14" s="12" t="inlineStr">
        <is>
          <t>Total</t>
        </is>
      </c>
      <c r="C14" s="12" t="inlineStr">
        <is>
          <t>Pass</t>
        </is>
      </c>
      <c r="D14" s="12" t="inlineStr">
        <is>
          <t>Fail</t>
        </is>
      </c>
      <c r="E14" s="12" t="inlineStr">
        <is>
          <t>Blocked</t>
        </is>
      </c>
      <c r="F14" s="12" t="inlineStr">
        <is>
          <t>Not Run</t>
        </is>
      </c>
    </row>
    <row r="15">
      <c r="A15" t="inlineStr">
        <is>
          <t>Tester A</t>
        </is>
      </c>
      <c r="B15">
        <f>COUNTIF('Test Cases'!I2:I254,"A")</f>
        <v/>
      </c>
      <c r="C15">
        <f>COUNTIFS('Test Cases'!I2:I254,"A",'Test Cases'!J2:J254,"Pass")</f>
        <v/>
      </c>
      <c r="D15">
        <f>COUNTIFS('Test Cases'!I2:I254,"A",'Test Cases'!J2:J254,"Fail")</f>
        <v/>
      </c>
      <c r="E15">
        <f>COUNTIFS('Test Cases'!I2:I254,"A",'Test Cases'!J2:J254,"Blocked")</f>
        <v/>
      </c>
      <c r="F15">
        <f>COUNTIFS('Test Cases'!I2:I254,"A",'Test Cases'!J2:J254,"Not Run")</f>
        <v/>
      </c>
    </row>
    <row r="16">
      <c r="A16" t="inlineStr">
        <is>
          <t>Tester B</t>
        </is>
      </c>
      <c r="B16">
        <f>COUNTIF('Test Cases'!I2:I254,"B")</f>
        <v/>
      </c>
      <c r="C16">
        <f>COUNTIFS('Test Cases'!I2:I254,"B",'Test Cases'!J2:J254,"Pass")</f>
        <v/>
      </c>
      <c r="D16">
        <f>COUNTIFS('Test Cases'!I2:I254,"B",'Test Cases'!J2:J254,"Fail")</f>
        <v/>
      </c>
      <c r="E16">
        <f>COUNTIFS('Test Cases'!I2:I254,"B",'Test Cases'!J2:J254,"Blocked")</f>
        <v/>
      </c>
      <c r="F16">
        <f>COUNTIFS('Test Cases'!I2:I254,"B",'Test Cases'!J2:J254,"Not Run")</f>
        <v/>
      </c>
    </row>
    <row r="17">
      <c r="A17" t="inlineStr">
        <is>
          <t>Tester C</t>
        </is>
      </c>
      <c r="B17">
        <f>COUNTIF('Test Cases'!I2:I254,"C")</f>
        <v/>
      </c>
      <c r="C17">
        <f>COUNTIFS('Test Cases'!I2:I254,"C",'Test Cases'!J2:J254,"Pass")</f>
        <v/>
      </c>
      <c r="D17">
        <f>COUNTIFS('Test Cases'!I2:I254,"C",'Test Cases'!J2:J254,"Fail")</f>
        <v/>
      </c>
      <c r="E17">
        <f>COUNTIFS('Test Cases'!I2:I254,"C",'Test Cases'!J2:J254,"Blocked")</f>
        <v/>
      </c>
      <c r="F17">
        <f>COUNTIFS('Test Cases'!I2:I254,"C",'Test Cases'!J2:J254,"Not Run")</f>
        <v/>
      </c>
    </row>
    <row r="19">
      <c r="A19" s="9" t="inlineStr">
        <is>
          <t>By suite</t>
        </is>
      </c>
      <c r="B19" s="10" t="n"/>
      <c r="C19" s="10" t="n"/>
      <c r="D19" s="10" t="n"/>
      <c r="E19" s="10" t="n"/>
      <c r="F19" s="10" t="n"/>
      <c r="G19" s="10" t="n"/>
      <c r="H19" s="10" t="n"/>
    </row>
    <row r="20">
      <c r="A20" s="12" t="inlineStr">
        <is>
          <t>Suite</t>
        </is>
      </c>
      <c r="B20" s="12" t="inlineStr">
        <is>
          <t>Total</t>
        </is>
      </c>
      <c r="C20" s="12" t="inlineStr">
        <is>
          <t>Pass</t>
        </is>
      </c>
      <c r="D20" s="12" t="inlineStr">
        <is>
          <t>Fail</t>
        </is>
      </c>
      <c r="E20" s="12" t="inlineStr">
        <is>
          <t>Blocked</t>
        </is>
      </c>
      <c r="F20" s="12" t="inlineStr">
        <is>
          <t>Not Run</t>
        </is>
      </c>
      <c r="G20" s="12" t="inlineStr">
        <is>
          <t>% done</t>
        </is>
      </c>
    </row>
    <row r="21">
      <c r="A21" t="inlineStr">
        <is>
          <t>TS-01</t>
        </is>
      </c>
      <c r="B21">
        <f>COUNTIF('Test Cases'!B2:B254,"TS-01")</f>
        <v/>
      </c>
      <c r="C21">
        <f>COUNTIFS('Test Cases'!B2:B254,"TS-01",'Test Cases'!J2:J254,"Pass")</f>
        <v/>
      </c>
      <c r="D21">
        <f>COUNTIFS('Test Cases'!B2:B254,"TS-01",'Test Cases'!J2:J254,"Fail")</f>
        <v/>
      </c>
      <c r="E21">
        <f>COUNTIFS('Test Cases'!B2:B254,"TS-01",'Test Cases'!J2:J254,"Blocked")</f>
        <v/>
      </c>
      <c r="F21">
        <f>COUNTIFS('Test Cases'!B2:B254,"TS-01",'Test Cases'!J2:J254,"Not Run")</f>
        <v/>
      </c>
      <c r="G21" s="11">
        <f>IFERROR((B21-F21)/B21,0)</f>
        <v/>
      </c>
    </row>
    <row r="22">
      <c r="A22" t="inlineStr">
        <is>
          <t>TS-02</t>
        </is>
      </c>
      <c r="B22">
        <f>COUNTIF('Test Cases'!B2:B254,"TS-02")</f>
        <v/>
      </c>
      <c r="C22">
        <f>COUNTIFS('Test Cases'!B2:B254,"TS-02",'Test Cases'!J2:J254,"Pass")</f>
        <v/>
      </c>
      <c r="D22">
        <f>COUNTIFS('Test Cases'!B2:B254,"TS-02",'Test Cases'!J2:J254,"Fail")</f>
        <v/>
      </c>
      <c r="E22">
        <f>COUNTIFS('Test Cases'!B2:B254,"TS-02",'Test Cases'!J2:J254,"Blocked")</f>
        <v/>
      </c>
      <c r="F22">
        <f>COUNTIFS('Test Cases'!B2:B254,"TS-02",'Test Cases'!J2:J254,"Not Run")</f>
        <v/>
      </c>
      <c r="G22" s="11">
        <f>IFERROR((B22-F22)/B22,0)</f>
        <v/>
      </c>
    </row>
    <row r="23">
      <c r="A23" t="inlineStr">
        <is>
          <t>TS-03</t>
        </is>
      </c>
      <c r="B23">
        <f>COUNTIF('Test Cases'!B2:B254,"TS-03")</f>
        <v/>
      </c>
      <c r="C23">
        <f>COUNTIFS('Test Cases'!B2:B254,"TS-03",'Test Cases'!J2:J254,"Pass")</f>
        <v/>
      </c>
      <c r="D23">
        <f>COUNTIFS('Test Cases'!B2:B254,"TS-03",'Test Cases'!J2:J254,"Fail")</f>
        <v/>
      </c>
      <c r="E23">
        <f>COUNTIFS('Test Cases'!B2:B254,"TS-03",'Test Cases'!J2:J254,"Blocked")</f>
        <v/>
      </c>
      <c r="F23">
        <f>COUNTIFS('Test Cases'!B2:B254,"TS-03",'Test Cases'!J2:J254,"Not Run")</f>
        <v/>
      </c>
      <c r="G23" s="11">
        <f>IFERROR((B23-F23)/B23,0)</f>
        <v/>
      </c>
    </row>
    <row r="24">
      <c r="A24" t="inlineStr">
        <is>
          <t>TS-04</t>
        </is>
      </c>
      <c r="B24">
        <f>COUNTIF('Test Cases'!B2:B254,"TS-04")</f>
        <v/>
      </c>
      <c r="C24">
        <f>COUNTIFS('Test Cases'!B2:B254,"TS-04",'Test Cases'!J2:J254,"Pass")</f>
        <v/>
      </c>
      <c r="D24">
        <f>COUNTIFS('Test Cases'!B2:B254,"TS-04",'Test Cases'!J2:J254,"Fail")</f>
        <v/>
      </c>
      <c r="E24">
        <f>COUNTIFS('Test Cases'!B2:B254,"TS-04",'Test Cases'!J2:J254,"Blocked")</f>
        <v/>
      </c>
      <c r="F24">
        <f>COUNTIFS('Test Cases'!B2:B254,"TS-04",'Test Cases'!J2:J254,"Not Run")</f>
        <v/>
      </c>
      <c r="G24" s="11">
        <f>IFERROR((B24-F24)/B24,0)</f>
        <v/>
      </c>
    </row>
    <row r="25">
      <c r="A25" t="inlineStr">
        <is>
          <t>TS-05</t>
        </is>
      </c>
      <c r="B25">
        <f>COUNTIF('Test Cases'!B2:B254,"TS-05")</f>
        <v/>
      </c>
      <c r="C25">
        <f>COUNTIFS('Test Cases'!B2:B254,"TS-05",'Test Cases'!J2:J254,"Pass")</f>
        <v/>
      </c>
      <c r="D25">
        <f>COUNTIFS('Test Cases'!B2:B254,"TS-05",'Test Cases'!J2:J254,"Fail")</f>
        <v/>
      </c>
      <c r="E25">
        <f>COUNTIFS('Test Cases'!B2:B254,"TS-05",'Test Cases'!J2:J254,"Blocked")</f>
        <v/>
      </c>
      <c r="F25">
        <f>COUNTIFS('Test Cases'!B2:B254,"TS-05",'Test Cases'!J2:J254,"Not Run")</f>
        <v/>
      </c>
      <c r="G25" s="11">
        <f>IFERROR((B25-F25)/B25,0)</f>
        <v/>
      </c>
    </row>
    <row r="26">
      <c r="A26" t="inlineStr">
        <is>
          <t>TS-06</t>
        </is>
      </c>
      <c r="B26">
        <f>COUNTIF('Test Cases'!B2:B254,"TS-06")</f>
        <v/>
      </c>
      <c r="C26">
        <f>COUNTIFS('Test Cases'!B2:B254,"TS-06",'Test Cases'!J2:J254,"Pass")</f>
        <v/>
      </c>
      <c r="D26">
        <f>COUNTIFS('Test Cases'!B2:B254,"TS-06",'Test Cases'!J2:J254,"Fail")</f>
        <v/>
      </c>
      <c r="E26">
        <f>COUNTIFS('Test Cases'!B2:B254,"TS-06",'Test Cases'!J2:J254,"Blocked")</f>
        <v/>
      </c>
      <c r="F26">
        <f>COUNTIFS('Test Cases'!B2:B254,"TS-06",'Test Cases'!J2:J254,"Not Run")</f>
        <v/>
      </c>
      <c r="G26" s="11">
        <f>IFERROR((B26-F26)/B26,0)</f>
        <v/>
      </c>
    </row>
    <row r="27">
      <c r="A27" t="inlineStr">
        <is>
          <t>TS-07</t>
        </is>
      </c>
      <c r="B27">
        <f>COUNTIF('Test Cases'!B2:B254,"TS-07")</f>
        <v/>
      </c>
      <c r="C27">
        <f>COUNTIFS('Test Cases'!B2:B254,"TS-07",'Test Cases'!J2:J254,"Pass")</f>
        <v/>
      </c>
      <c r="D27">
        <f>COUNTIFS('Test Cases'!B2:B254,"TS-07",'Test Cases'!J2:J254,"Fail")</f>
        <v/>
      </c>
      <c r="E27">
        <f>COUNTIFS('Test Cases'!B2:B254,"TS-07",'Test Cases'!J2:J254,"Blocked")</f>
        <v/>
      </c>
      <c r="F27">
        <f>COUNTIFS('Test Cases'!B2:B254,"TS-07",'Test Cases'!J2:J254,"Not Run")</f>
        <v/>
      </c>
      <c r="G27" s="11">
        <f>IFERROR((B27-F27)/B27,0)</f>
        <v/>
      </c>
    </row>
    <row r="28">
      <c r="A28" t="inlineStr">
        <is>
          <t>TS-08</t>
        </is>
      </c>
      <c r="B28">
        <f>COUNTIF('Test Cases'!B2:B254,"TS-08")</f>
        <v/>
      </c>
      <c r="C28">
        <f>COUNTIFS('Test Cases'!B2:B254,"TS-08",'Test Cases'!J2:J254,"Pass")</f>
        <v/>
      </c>
      <c r="D28">
        <f>COUNTIFS('Test Cases'!B2:B254,"TS-08",'Test Cases'!J2:J254,"Fail")</f>
        <v/>
      </c>
      <c r="E28">
        <f>COUNTIFS('Test Cases'!B2:B254,"TS-08",'Test Cases'!J2:J254,"Blocked")</f>
        <v/>
      </c>
      <c r="F28">
        <f>COUNTIFS('Test Cases'!B2:B254,"TS-08",'Test Cases'!J2:J254,"Not Run")</f>
        <v/>
      </c>
      <c r="G28" s="11">
        <f>IFERROR((B28-F28)/B28,0)</f>
        <v/>
      </c>
    </row>
    <row r="29">
      <c r="A29" t="inlineStr">
        <is>
          <t>TS-09</t>
        </is>
      </c>
      <c r="B29">
        <f>COUNTIF('Test Cases'!B2:B254,"TS-09")</f>
        <v/>
      </c>
      <c r="C29">
        <f>COUNTIFS('Test Cases'!B2:B254,"TS-09",'Test Cases'!J2:J254,"Pass")</f>
        <v/>
      </c>
      <c r="D29">
        <f>COUNTIFS('Test Cases'!B2:B254,"TS-09",'Test Cases'!J2:J254,"Fail")</f>
        <v/>
      </c>
      <c r="E29">
        <f>COUNTIFS('Test Cases'!B2:B254,"TS-09",'Test Cases'!J2:J254,"Blocked")</f>
        <v/>
      </c>
      <c r="F29">
        <f>COUNTIFS('Test Cases'!B2:B254,"TS-09",'Test Cases'!J2:J254,"Not Run")</f>
        <v/>
      </c>
      <c r="G29" s="11">
        <f>IFERROR((B29-F29)/B29,0)</f>
        <v/>
      </c>
    </row>
    <row r="30">
      <c r="A30" t="inlineStr">
        <is>
          <t>TS-10</t>
        </is>
      </c>
      <c r="B30">
        <f>COUNTIF('Test Cases'!B2:B254,"TS-10")</f>
        <v/>
      </c>
      <c r="C30">
        <f>COUNTIFS('Test Cases'!B2:B254,"TS-10",'Test Cases'!J2:J254,"Pass")</f>
        <v/>
      </c>
      <c r="D30">
        <f>COUNTIFS('Test Cases'!B2:B254,"TS-10",'Test Cases'!J2:J254,"Fail")</f>
        <v/>
      </c>
      <c r="E30">
        <f>COUNTIFS('Test Cases'!B2:B254,"TS-10",'Test Cases'!J2:J254,"Blocked")</f>
        <v/>
      </c>
      <c r="F30">
        <f>COUNTIFS('Test Cases'!B2:B254,"TS-10",'Test Cases'!J2:J254,"Not Run")</f>
        <v/>
      </c>
      <c r="G30" s="11">
        <f>IFERROR((B30-F30)/B30,0)</f>
        <v/>
      </c>
    </row>
    <row r="31">
      <c r="A31" t="inlineStr">
        <is>
          <t>TS-11</t>
        </is>
      </c>
      <c r="B31">
        <f>COUNTIF('Test Cases'!B2:B254,"TS-11")</f>
        <v/>
      </c>
      <c r="C31">
        <f>COUNTIFS('Test Cases'!B2:B254,"TS-11",'Test Cases'!J2:J254,"Pass")</f>
        <v/>
      </c>
      <c r="D31">
        <f>COUNTIFS('Test Cases'!B2:B254,"TS-11",'Test Cases'!J2:J254,"Fail")</f>
        <v/>
      </c>
      <c r="E31">
        <f>COUNTIFS('Test Cases'!B2:B254,"TS-11",'Test Cases'!J2:J254,"Blocked")</f>
        <v/>
      </c>
      <c r="F31">
        <f>COUNTIFS('Test Cases'!B2:B254,"TS-11",'Test Cases'!J2:J254,"Not Run")</f>
        <v/>
      </c>
      <c r="G31" s="11">
        <f>IFERROR((B31-F31)/B31,0)</f>
        <v/>
      </c>
    </row>
    <row r="32">
      <c r="A32" t="inlineStr">
        <is>
          <t>TS-12</t>
        </is>
      </c>
      <c r="B32">
        <f>COUNTIF('Test Cases'!B2:B254,"TS-12")</f>
        <v/>
      </c>
      <c r="C32">
        <f>COUNTIFS('Test Cases'!B2:B254,"TS-12",'Test Cases'!J2:J254,"Pass")</f>
        <v/>
      </c>
      <c r="D32">
        <f>COUNTIFS('Test Cases'!B2:B254,"TS-12",'Test Cases'!J2:J254,"Fail")</f>
        <v/>
      </c>
      <c r="E32">
        <f>COUNTIFS('Test Cases'!B2:B254,"TS-12",'Test Cases'!J2:J254,"Blocked")</f>
        <v/>
      </c>
      <c r="F32">
        <f>COUNTIFS('Test Cases'!B2:B254,"TS-12",'Test Cases'!J2:J254,"Not Run")</f>
        <v/>
      </c>
      <c r="G32" s="11">
        <f>IFERROR((B32-F32)/B32,0)</f>
        <v/>
      </c>
    </row>
    <row r="33">
      <c r="A33" t="inlineStr">
        <is>
          <t>TS-13</t>
        </is>
      </c>
      <c r="B33">
        <f>COUNTIF('Test Cases'!B2:B254,"TS-13")</f>
        <v/>
      </c>
      <c r="C33">
        <f>COUNTIFS('Test Cases'!B2:B254,"TS-13",'Test Cases'!J2:J254,"Pass")</f>
        <v/>
      </c>
      <c r="D33">
        <f>COUNTIFS('Test Cases'!B2:B254,"TS-13",'Test Cases'!J2:J254,"Fail")</f>
        <v/>
      </c>
      <c r="E33">
        <f>COUNTIFS('Test Cases'!B2:B254,"TS-13",'Test Cases'!J2:J254,"Blocked")</f>
        <v/>
      </c>
      <c r="F33">
        <f>COUNTIFS('Test Cases'!B2:B254,"TS-13",'Test Cases'!J2:J254,"Not Run")</f>
        <v/>
      </c>
      <c r="G33" s="11">
        <f>IFERROR((B33-F33)/B33,0)</f>
        <v/>
      </c>
    </row>
    <row r="34">
      <c r="A34" t="inlineStr">
        <is>
          <t>TS-14</t>
        </is>
      </c>
      <c r="B34">
        <f>COUNTIF('Test Cases'!B2:B254,"TS-14")</f>
        <v/>
      </c>
      <c r="C34">
        <f>COUNTIFS('Test Cases'!B2:B254,"TS-14",'Test Cases'!J2:J254,"Pass")</f>
        <v/>
      </c>
      <c r="D34">
        <f>COUNTIFS('Test Cases'!B2:B254,"TS-14",'Test Cases'!J2:J254,"Fail")</f>
        <v/>
      </c>
      <c r="E34">
        <f>COUNTIFS('Test Cases'!B2:B254,"TS-14",'Test Cases'!J2:J254,"Blocked")</f>
        <v/>
      </c>
      <c r="F34">
        <f>COUNTIFS('Test Cases'!B2:B254,"TS-14",'Test Cases'!J2:J254,"Not Run")</f>
        <v/>
      </c>
      <c r="G34" s="11">
        <f>IFERROR((B34-F34)/B34,0)</f>
        <v/>
      </c>
    </row>
    <row r="35">
      <c r="A35" t="inlineStr">
        <is>
          <t>TS-15</t>
        </is>
      </c>
      <c r="B35">
        <f>COUNTIF('Test Cases'!B2:B254,"TS-15")</f>
        <v/>
      </c>
      <c r="C35">
        <f>COUNTIFS('Test Cases'!B2:B254,"TS-15",'Test Cases'!J2:J254,"Pass")</f>
        <v/>
      </c>
      <c r="D35">
        <f>COUNTIFS('Test Cases'!B2:B254,"TS-15",'Test Cases'!J2:J254,"Fail")</f>
        <v/>
      </c>
      <c r="E35">
        <f>COUNTIFS('Test Cases'!B2:B254,"TS-15",'Test Cases'!J2:J254,"Blocked")</f>
        <v/>
      </c>
      <c r="F35">
        <f>COUNTIFS('Test Cases'!B2:B254,"TS-15",'Test Cases'!J2:J254,"Not Run")</f>
        <v/>
      </c>
      <c r="G35" s="11">
        <f>IFERROR((B35-F35)/B35,0)</f>
        <v/>
      </c>
    </row>
    <row r="37">
      <c r="A37" s="9" t="inlineStr">
        <is>
          <t>By priority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>
      <c r="A38" s="12" t="inlineStr">
        <is>
          <t>Priority</t>
        </is>
      </c>
      <c r="B38" s="12" t="inlineStr">
        <is>
          <t>Total</t>
        </is>
      </c>
      <c r="C38" s="12" t="inlineStr">
        <is>
          <t>Executed</t>
        </is>
      </c>
      <c r="D38" s="12" t="inlineStr">
        <is>
          <t>Fail</t>
        </is>
      </c>
    </row>
    <row r="39">
      <c r="A39" t="inlineStr">
        <is>
          <t>Critical</t>
        </is>
      </c>
      <c r="B39">
        <f>COUNTIF('Test Cases'!E2:E254,"Critical")</f>
        <v/>
      </c>
      <c r="C39">
        <f>B39-COUNTIFS('Test Cases'!E2:E254,"Critical",'Test Cases'!J2:J254,"Not Run")</f>
        <v/>
      </c>
      <c r="D39">
        <f>COUNTIFS('Test Cases'!E2:E254,"Critical",'Test Cases'!J2:J254,"Fail")</f>
        <v/>
      </c>
    </row>
    <row r="40">
      <c r="A40" t="inlineStr">
        <is>
          <t>High</t>
        </is>
      </c>
      <c r="B40">
        <f>COUNTIF('Test Cases'!E2:E254,"High")</f>
        <v/>
      </c>
      <c r="C40">
        <f>B40-COUNTIFS('Test Cases'!E2:E254,"High",'Test Cases'!J2:J254,"Not Run")</f>
        <v/>
      </c>
      <c r="D40">
        <f>COUNTIFS('Test Cases'!E2:E254,"High",'Test Cases'!J2:J254,"Fail")</f>
        <v/>
      </c>
    </row>
    <row r="41">
      <c r="A41" t="inlineStr">
        <is>
          <t>Medium</t>
        </is>
      </c>
      <c r="B41">
        <f>COUNTIF('Test Cases'!E2:E254,"Medium")</f>
        <v/>
      </c>
      <c r="C41">
        <f>B41-COUNTIFS('Test Cases'!E2:E254,"Medium",'Test Cases'!J2:J254,"Not Run")</f>
        <v/>
      </c>
      <c r="D41">
        <f>COUNTIFS('Test Cases'!E2:E254,"Medium",'Test Cases'!J2:J254,"Fail")</f>
        <v/>
      </c>
    </row>
    <row r="42">
      <c r="A42" t="inlineStr">
        <is>
          <t>Low</t>
        </is>
      </c>
      <c r="B42">
        <f>COUNTIF('Test Cases'!E2:E254,"Low")</f>
        <v/>
      </c>
      <c r="C42">
        <f>B42-COUNTIFS('Test Cases'!E2:E254,"Low",'Test Cases'!J2:J254,"Not Run")</f>
        <v/>
      </c>
      <c r="D42">
        <f>COUNTIFS('Test Cases'!E2:E254,"Low",'Test Cases'!J2:J254,"Fail")</f>
        <v/>
      </c>
    </row>
    <row r="44">
      <c r="A44" s="9" t="inlineStr">
        <is>
          <t>Defects</t>
        </is>
      </c>
      <c r="B44" s="10" t="n"/>
      <c r="C44" s="10" t="n"/>
      <c r="D44" s="10" t="n"/>
      <c r="E44" s="10" t="n"/>
      <c r="F44" s="10" t="n"/>
      <c r="G44" s="10" t="n"/>
      <c r="H44" s="10" t="n"/>
    </row>
    <row r="45">
      <c r="A45" t="inlineStr">
        <is>
          <t>Critical — open</t>
        </is>
      </c>
      <c r="B45">
        <f>COUNTIFS(Defects!C2:C500,"Critical",Defects!D2:D500,"&lt;&gt;Closed",Defects!D2:D500,"&lt;&gt;Duplicate",Defects!D2:D500,"&lt;&gt;Won't Fix")</f>
        <v/>
      </c>
    </row>
    <row r="46">
      <c r="A46" t="inlineStr">
        <is>
          <t>High — open</t>
        </is>
      </c>
      <c r="B46">
        <f>COUNTIFS(Defects!C2:C500,"High",Defects!D2:D500,"&lt;&gt;Closed",Defects!D2:D500,"&lt;&gt;Duplicate",Defects!D2:D500,"&lt;&gt;Won't Fix")</f>
        <v/>
      </c>
    </row>
    <row r="47">
      <c r="A47" t="inlineStr">
        <is>
          <t>Medium — open</t>
        </is>
      </c>
      <c r="B47">
        <f>COUNTIFS(Defects!C2:C500,"Medium",Defects!D2:D500,"&lt;&gt;Closed",Defects!D2:D500,"&lt;&gt;Duplicate",Defects!D2:D500,"&lt;&gt;Won't Fix")</f>
        <v/>
      </c>
    </row>
    <row r="48">
      <c r="A48" t="inlineStr">
        <is>
          <t>Low — open</t>
        </is>
      </c>
      <c r="B48">
        <f>COUNTIFS(Defects!C2:C500,"Low",Defects!D2:D500,"&lt;&gt;Closed",Defects!D2:D500,"&lt;&gt;Duplicate",Defects!D2:D500,"&lt;&gt;Won't Fix")</f>
        <v/>
      </c>
    </row>
    <row r="49">
      <c r="A49" t="inlineStr">
        <is>
          <t>Total raised</t>
        </is>
      </c>
      <c r="B49">
        <f>COUNTA(Defects!A2:A500)</f>
        <v/>
      </c>
    </row>
    <row r="51">
      <c r="A51" s="9" t="inlineStr">
        <is>
          <t>Exit criteria</t>
        </is>
      </c>
      <c r="B51" s="10" t="n"/>
      <c r="C51" s="10" t="n"/>
      <c r="D51" s="10" t="n"/>
      <c r="E51" s="10" t="n"/>
      <c r="F51" s="10" t="n"/>
      <c r="G51" s="10" t="n"/>
      <c r="H51" s="10" t="n"/>
    </row>
    <row r="52">
      <c r="A52" t="inlineStr">
        <is>
          <t>All Critical priority cases executed</t>
        </is>
      </c>
      <c r="B52" s="12">
        <f>IF(COUNTIFS('Test Cases'!E2:E254,"Critical",'Test Cases'!J2:J254,"Not Run")=0,"MET","NOT MET")</f>
        <v/>
      </c>
    </row>
    <row r="53">
      <c r="A53" t="inlineStr">
        <is>
          <t>All High priority cases executed</t>
        </is>
      </c>
      <c r="B53" s="12">
        <f>IF(COUNTIFS('Test Cases'!E2:E254,"High",'Test Cases'!J2:J254,"Not Run")=0,"MET","NOT MET")</f>
        <v/>
      </c>
    </row>
    <row r="54">
      <c r="A54" t="inlineStr">
        <is>
          <t>90% of all cases executed</t>
        </is>
      </c>
      <c r="B54" s="12">
        <f>IF(($B$5-B6)/$B$5&gt;=0.9,"MET","NOT MET")</f>
        <v/>
      </c>
    </row>
    <row r="55">
      <c r="A55" t="inlineStr">
        <is>
          <t>Zero open Critical defects</t>
        </is>
      </c>
      <c r="B55" s="12">
        <f>IF(B45=0,"MET","NOT MET")</f>
        <v/>
      </c>
    </row>
    <row r="56">
      <c r="A56" t="inlineStr">
        <is>
          <t>Zero open High defects</t>
        </is>
      </c>
      <c r="B56" s="12">
        <f>IF(B46=0,"MET","NOT MET")</f>
        <v/>
      </c>
    </row>
  </sheetData>
  <conditionalFormatting sqref="B52:B56">
    <cfRule type="cellIs" priority="1" operator="equal" dxfId="3">
      <formula>"MET"</formula>
    </cfRule>
    <cfRule type="cellIs" priority="2" operator="equal" dxfId="4">
      <formula>"NOT MET"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2026-08-16T04:35:05Z</dcterms:created>
  <dcterms:modified xmlns:dcterms="http://purl.org/dc/terms/" xmlns:xsi="http://www.w3.org/2001/XMLSchema-instance" xsi:type="dcterms:W3CDTF">2026-08-16T04:35:05Z</dcterms:modified>
</cp:coreProperties>
</file>